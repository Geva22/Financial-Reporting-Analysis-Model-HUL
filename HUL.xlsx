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8400" tabRatio="500" firstSheet="1" activeTab="5"/>
  </bookViews>
  <sheets>
    <sheet name="Intrinsic Growth" sheetId="2" r:id="rId1"/>
    <sheet name="Raw Data" sheetId="3" r:id="rId2"/>
    <sheet name="HistoricalFS" sheetId="1" r:id="rId3"/>
    <sheet name="Data Sheet" sheetId="4" r:id="rId4"/>
    <sheet name="Cash Flow Statement" sheetId="5" r:id="rId5"/>
    <sheet name="Variance Analysis" sheetId="6" r:id="rId6"/>
  </sheets>
  <externalReferences>
    <externalReference r:id="rId7"/>
  </externalReferences>
  <definedNames>
    <definedName name="UPDATE" localSheetId="3">'Data Sheet'!$E$1</definedName>
    <definedName name="UPDATE" localSheetId="2">'[1]Data Sheet'!$E$1</definedName>
    <definedName name="UPDATE">#REF!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" i="6" l="1"/>
  <c r="E23" i="6"/>
  <c r="F23" i="6"/>
  <c r="G23" i="6"/>
  <c r="H23" i="6"/>
  <c r="I23" i="6"/>
  <c r="J23" i="6"/>
  <c r="K23" i="6"/>
  <c r="L23" i="6"/>
  <c r="D24" i="6"/>
  <c r="E24" i="6"/>
  <c r="F24" i="6"/>
  <c r="G24" i="6"/>
  <c r="H24" i="6"/>
  <c r="I24" i="6"/>
  <c r="J24" i="6"/>
  <c r="K24" i="6"/>
  <c r="L24" i="6"/>
  <c r="C24" i="6"/>
  <c r="C23" i="6"/>
  <c r="E19" i="6"/>
  <c r="F19" i="6"/>
  <c r="G19" i="6"/>
  <c r="H19" i="6"/>
  <c r="I19" i="6"/>
  <c r="J19" i="6"/>
  <c r="K19" i="6"/>
  <c r="L19" i="6"/>
  <c r="D19" i="6"/>
  <c r="E18" i="6"/>
  <c r="F18" i="6"/>
  <c r="G18" i="6"/>
  <c r="H18" i="6"/>
  <c r="I18" i="6"/>
  <c r="J18" i="6"/>
  <c r="K18" i="6"/>
  <c r="L18" i="6"/>
  <c r="D18" i="6"/>
  <c r="D6" i="6"/>
  <c r="E6" i="6"/>
  <c r="F6" i="6"/>
  <c r="G6" i="6"/>
  <c r="H6" i="6"/>
  <c r="I6" i="6"/>
  <c r="J6" i="6"/>
  <c r="K6" i="6"/>
  <c r="L6" i="6"/>
  <c r="D7" i="6"/>
  <c r="E7" i="6"/>
  <c r="F7" i="6"/>
  <c r="G7" i="6"/>
  <c r="H7" i="6"/>
  <c r="I7" i="6"/>
  <c r="J7" i="6"/>
  <c r="K7" i="6"/>
  <c r="L7" i="6"/>
  <c r="D8" i="6"/>
  <c r="E8" i="6"/>
  <c r="F8" i="6"/>
  <c r="G8" i="6"/>
  <c r="H8" i="6"/>
  <c r="I8" i="6"/>
  <c r="J8" i="6"/>
  <c r="K8" i="6"/>
  <c r="L8" i="6"/>
  <c r="D9" i="6"/>
  <c r="E9" i="6"/>
  <c r="F9" i="6"/>
  <c r="G9" i="6"/>
  <c r="H9" i="6"/>
  <c r="I9" i="6"/>
  <c r="J9" i="6"/>
  <c r="K9" i="6"/>
  <c r="L9" i="6"/>
  <c r="D10" i="6"/>
  <c r="E10" i="6"/>
  <c r="F10" i="6"/>
  <c r="G10" i="6"/>
  <c r="H10" i="6"/>
  <c r="I10" i="6"/>
  <c r="J10" i="6"/>
  <c r="K10" i="6"/>
  <c r="L10" i="6"/>
  <c r="D11" i="6"/>
  <c r="E11" i="6"/>
  <c r="F11" i="6"/>
  <c r="G11" i="6"/>
  <c r="H11" i="6"/>
  <c r="I11" i="6"/>
  <c r="J11" i="6"/>
  <c r="K11" i="6"/>
  <c r="L11" i="6"/>
  <c r="D12" i="6"/>
  <c r="E12" i="6"/>
  <c r="F12" i="6"/>
  <c r="G12" i="6"/>
  <c r="H12" i="6"/>
  <c r="I12" i="6"/>
  <c r="J12" i="6"/>
  <c r="K12" i="6"/>
  <c r="L12" i="6"/>
  <c r="D13" i="6"/>
  <c r="E13" i="6"/>
  <c r="F13" i="6"/>
  <c r="G13" i="6"/>
  <c r="H13" i="6"/>
  <c r="I13" i="6"/>
  <c r="J13" i="6"/>
  <c r="K13" i="6"/>
  <c r="L13" i="6"/>
  <c r="D14" i="6"/>
  <c r="E14" i="6"/>
  <c r="F14" i="6"/>
  <c r="G14" i="6"/>
  <c r="H14" i="6"/>
  <c r="I14" i="6"/>
  <c r="J14" i="6"/>
  <c r="K14" i="6"/>
  <c r="L14" i="6"/>
  <c r="C14" i="6"/>
  <c r="C13" i="6"/>
  <c r="C12" i="6"/>
  <c r="C11" i="6"/>
  <c r="C10" i="6"/>
  <c r="C9" i="6"/>
  <c r="C8" i="6"/>
  <c r="C7" i="6"/>
  <c r="C6" i="6"/>
  <c r="B6" i="4"/>
  <c r="E1" i="4"/>
  <c r="L74" i="3"/>
  <c r="K74" i="3"/>
  <c r="J74" i="3"/>
  <c r="I74" i="3"/>
  <c r="H74" i="3"/>
  <c r="G74" i="3"/>
  <c r="F74" i="3"/>
  <c r="E74" i="3"/>
  <c r="D74" i="3"/>
  <c r="C74" i="3"/>
  <c r="L73" i="3"/>
  <c r="K73" i="3"/>
  <c r="J73" i="3"/>
  <c r="I73" i="3"/>
  <c r="H73" i="3"/>
  <c r="G73" i="3"/>
  <c r="F73" i="3"/>
  <c r="E73" i="3"/>
  <c r="D73" i="3"/>
  <c r="C73" i="3"/>
  <c r="L72" i="3"/>
  <c r="K72" i="3"/>
  <c r="J72" i="3"/>
  <c r="I72" i="3"/>
  <c r="H72" i="3"/>
  <c r="G72" i="3"/>
  <c r="F72" i="3"/>
  <c r="E72" i="3"/>
  <c r="D72" i="3"/>
  <c r="C72" i="3"/>
  <c r="L71" i="3"/>
  <c r="K71" i="3"/>
  <c r="J71" i="3"/>
  <c r="J75" i="3" s="1"/>
  <c r="I71" i="3"/>
  <c r="I75" i="3" s="1"/>
  <c r="H71" i="3"/>
  <c r="G71" i="3"/>
  <c r="F71" i="3"/>
  <c r="E71" i="3"/>
  <c r="D71" i="3"/>
  <c r="C71" i="3"/>
  <c r="L70" i="3"/>
  <c r="K70" i="3"/>
  <c r="K75" i="3" s="1"/>
  <c r="J70" i="3"/>
  <c r="I70" i="3"/>
  <c r="H70" i="3"/>
  <c r="G70" i="3"/>
  <c r="F70" i="3"/>
  <c r="E70" i="3"/>
  <c r="D70" i="3"/>
  <c r="C70" i="3"/>
  <c r="C75" i="3" s="1"/>
  <c r="L69" i="3"/>
  <c r="K69" i="3"/>
  <c r="J69" i="3"/>
  <c r="I69" i="3"/>
  <c r="H69" i="3"/>
  <c r="G69" i="3"/>
  <c r="F69" i="3"/>
  <c r="E69" i="3"/>
  <c r="D69" i="3"/>
  <c r="C69" i="3"/>
  <c r="L68" i="3"/>
  <c r="L75" i="3" s="1"/>
  <c r="K68" i="3"/>
  <c r="J68" i="3"/>
  <c r="I68" i="3"/>
  <c r="H68" i="3"/>
  <c r="H75" i="3" s="1"/>
  <c r="G68" i="3"/>
  <c r="G75" i="3" s="1"/>
  <c r="F68" i="3"/>
  <c r="F75" i="3" s="1"/>
  <c r="E68" i="3"/>
  <c r="E75" i="3" s="1"/>
  <c r="D68" i="3"/>
  <c r="D75" i="3" s="1"/>
  <c r="C68" i="3"/>
  <c r="L65" i="3"/>
  <c r="K65" i="3"/>
  <c r="J65" i="3"/>
  <c r="I65" i="3"/>
  <c r="H65" i="3"/>
  <c r="G65" i="3"/>
  <c r="F65" i="3"/>
  <c r="E65" i="3"/>
  <c r="D65" i="3"/>
  <c r="C65" i="3"/>
  <c r="L64" i="3"/>
  <c r="K64" i="3"/>
  <c r="J64" i="3"/>
  <c r="I64" i="3"/>
  <c r="H64" i="3"/>
  <c r="G64" i="3"/>
  <c r="F64" i="3"/>
  <c r="E64" i="3"/>
  <c r="D64" i="3"/>
  <c r="C64" i="3"/>
  <c r="L63" i="3"/>
  <c r="K63" i="3"/>
  <c r="J63" i="3"/>
  <c r="I63" i="3"/>
  <c r="H63" i="3"/>
  <c r="G63" i="3"/>
  <c r="F63" i="3"/>
  <c r="E63" i="3"/>
  <c r="D63" i="3"/>
  <c r="C63" i="3"/>
  <c r="L62" i="3"/>
  <c r="K62" i="3"/>
  <c r="J62" i="3"/>
  <c r="I62" i="3"/>
  <c r="H62" i="3"/>
  <c r="G62" i="3"/>
  <c r="F62" i="3"/>
  <c r="E62" i="3"/>
  <c r="D62" i="3"/>
  <c r="C62" i="3"/>
  <c r="L61" i="3"/>
  <c r="K61" i="3"/>
  <c r="J61" i="3"/>
  <c r="I61" i="3"/>
  <c r="H61" i="3"/>
  <c r="G61" i="3"/>
  <c r="F61" i="3"/>
  <c r="E61" i="3"/>
  <c r="D61" i="3"/>
  <c r="C61" i="3"/>
  <c r="L60" i="3"/>
  <c r="K60" i="3"/>
  <c r="J60" i="3"/>
  <c r="I60" i="3"/>
  <c r="H60" i="3"/>
  <c r="G60" i="3"/>
  <c r="F60" i="3"/>
  <c r="E60" i="3"/>
  <c r="D60" i="3"/>
  <c r="C60" i="3"/>
  <c r="L59" i="3"/>
  <c r="K59" i="3"/>
  <c r="J59" i="3"/>
  <c r="I59" i="3"/>
  <c r="H59" i="3"/>
  <c r="G59" i="3"/>
  <c r="F59" i="3"/>
  <c r="E59" i="3"/>
  <c r="D59" i="3"/>
  <c r="C59" i="3"/>
  <c r="L58" i="3"/>
  <c r="K58" i="3"/>
  <c r="J58" i="3"/>
  <c r="J66" i="3" s="1"/>
  <c r="I58" i="3"/>
  <c r="I66" i="3" s="1"/>
  <c r="H58" i="3"/>
  <c r="G58" i="3"/>
  <c r="F58" i="3"/>
  <c r="E58" i="3"/>
  <c r="D58" i="3"/>
  <c r="C58" i="3"/>
  <c r="L57" i="3"/>
  <c r="K57" i="3"/>
  <c r="J57" i="3"/>
  <c r="I57" i="3"/>
  <c r="H57" i="3"/>
  <c r="G57" i="3"/>
  <c r="F57" i="3"/>
  <c r="E57" i="3"/>
  <c r="D57" i="3"/>
  <c r="C57" i="3"/>
  <c r="L56" i="3"/>
  <c r="K56" i="3"/>
  <c r="J56" i="3"/>
  <c r="I56" i="3"/>
  <c r="H56" i="3"/>
  <c r="G56" i="3"/>
  <c r="F56" i="3"/>
  <c r="E56" i="3"/>
  <c r="D56" i="3"/>
  <c r="C56" i="3"/>
  <c r="L55" i="3"/>
  <c r="L66" i="3" s="1"/>
  <c r="K55" i="3"/>
  <c r="K66" i="3" s="1"/>
  <c r="J55" i="3"/>
  <c r="I55" i="3"/>
  <c r="H55" i="3"/>
  <c r="H66" i="3" s="1"/>
  <c r="G55" i="3"/>
  <c r="G41" i="2" s="1"/>
  <c r="G48" i="2" s="1"/>
  <c r="F55" i="3"/>
  <c r="F66" i="3" s="1"/>
  <c r="E55" i="3"/>
  <c r="E66" i="3" s="1"/>
  <c r="D55" i="3"/>
  <c r="D66" i="3" s="1"/>
  <c r="C55" i="3"/>
  <c r="C66" i="3" s="1"/>
  <c r="L53" i="3"/>
  <c r="L77" i="3" s="1"/>
  <c r="K53" i="3"/>
  <c r="K77" i="3" s="1"/>
  <c r="J53" i="3"/>
  <c r="I53" i="3"/>
  <c r="I77" i="3" s="1"/>
  <c r="H53" i="3"/>
  <c r="G53" i="3"/>
  <c r="F53" i="3"/>
  <c r="E53" i="3"/>
  <c r="E77" i="3" s="1"/>
  <c r="D53" i="3"/>
  <c r="D77" i="3" s="1"/>
  <c r="C53" i="3"/>
  <c r="C77" i="3" s="1"/>
  <c r="L28" i="3"/>
  <c r="K28" i="3"/>
  <c r="J28" i="3"/>
  <c r="I28" i="3"/>
  <c r="H28" i="3"/>
  <c r="G28" i="3"/>
  <c r="F28" i="3"/>
  <c r="E28" i="3"/>
  <c r="D28" i="3"/>
  <c r="C28" i="3"/>
  <c r="F2" i="3"/>
  <c r="E2" i="3"/>
  <c r="G58" i="2"/>
  <c r="L41" i="2"/>
  <c r="K41" i="2"/>
  <c r="J41" i="2"/>
  <c r="I41" i="2"/>
  <c r="H41" i="2"/>
  <c r="G39" i="2"/>
  <c r="L31" i="2"/>
  <c r="K31" i="2"/>
  <c r="J31" i="2"/>
  <c r="I31" i="2"/>
  <c r="H31" i="2"/>
  <c r="G31" i="2"/>
  <c r="B31" i="2"/>
  <c r="L28" i="2"/>
  <c r="K28" i="2"/>
  <c r="J28" i="2"/>
  <c r="I28" i="2"/>
  <c r="H28" i="2"/>
  <c r="G28" i="2"/>
  <c r="B28" i="2"/>
  <c r="L27" i="2"/>
  <c r="K27" i="2"/>
  <c r="J27" i="2"/>
  <c r="I27" i="2"/>
  <c r="H27" i="2"/>
  <c r="G27" i="2"/>
  <c r="B27" i="2"/>
  <c r="L26" i="2"/>
  <c r="K26" i="2"/>
  <c r="J26" i="2"/>
  <c r="I26" i="2"/>
  <c r="H26" i="2"/>
  <c r="G26" i="2"/>
  <c r="B26" i="2"/>
  <c r="L25" i="2"/>
  <c r="K25" i="2"/>
  <c r="J25" i="2"/>
  <c r="I25" i="2"/>
  <c r="H25" i="2"/>
  <c r="G25" i="2"/>
  <c r="B25" i="2"/>
  <c r="L24" i="2"/>
  <c r="K24" i="2"/>
  <c r="J24" i="2"/>
  <c r="I24" i="2"/>
  <c r="H24" i="2"/>
  <c r="G24" i="2"/>
  <c r="B24" i="2"/>
  <c r="L23" i="2"/>
  <c r="K23" i="2"/>
  <c r="J23" i="2"/>
  <c r="I23" i="2"/>
  <c r="H23" i="2"/>
  <c r="G23" i="2"/>
  <c r="B23" i="2"/>
  <c r="L22" i="2"/>
  <c r="L30" i="2" s="1"/>
  <c r="L32" i="2" s="1"/>
  <c r="K22" i="2"/>
  <c r="K30" i="2" s="1"/>
  <c r="K32" i="2" s="1"/>
  <c r="J22" i="2"/>
  <c r="I22" i="2"/>
  <c r="H22" i="2"/>
  <c r="G22" i="2"/>
  <c r="B22" i="2"/>
  <c r="L21" i="2"/>
  <c r="K21" i="2"/>
  <c r="J21" i="2"/>
  <c r="J30" i="2" s="1"/>
  <c r="J32" i="2" s="1"/>
  <c r="I21" i="2"/>
  <c r="I30" i="2" s="1"/>
  <c r="I32" i="2" s="1"/>
  <c r="H21" i="2"/>
  <c r="H30" i="2" s="1"/>
  <c r="H32" i="2" s="1"/>
  <c r="G21" i="2"/>
  <c r="G30" i="2" s="1"/>
  <c r="G32" i="2" s="1"/>
  <c r="B21" i="2"/>
  <c r="I16" i="2"/>
  <c r="H16" i="2"/>
  <c r="G16" i="2"/>
  <c r="L15" i="2"/>
  <c r="K15" i="2"/>
  <c r="J15" i="2"/>
  <c r="I15" i="2"/>
  <c r="H15" i="2"/>
  <c r="G15" i="2"/>
  <c r="B15" i="2"/>
  <c r="L14" i="2"/>
  <c r="K14" i="2"/>
  <c r="J14" i="2"/>
  <c r="I14" i="2"/>
  <c r="H14" i="2"/>
  <c r="G14" i="2"/>
  <c r="B14" i="2"/>
  <c r="L13" i="2"/>
  <c r="L16" i="2" s="1"/>
  <c r="K13" i="2"/>
  <c r="K16" i="2" s="1"/>
  <c r="J13" i="2"/>
  <c r="J16" i="2" s="1"/>
  <c r="I13" i="2"/>
  <c r="H13" i="2"/>
  <c r="G13" i="2"/>
  <c r="B13" i="2"/>
  <c r="K10" i="2"/>
  <c r="J10" i="2"/>
  <c r="L9" i="2"/>
  <c r="K9" i="2"/>
  <c r="J9" i="2"/>
  <c r="I9" i="2"/>
  <c r="H9" i="2"/>
  <c r="G9" i="2"/>
  <c r="B9" i="2"/>
  <c r="L8" i="2"/>
  <c r="K8" i="2"/>
  <c r="J8" i="2"/>
  <c r="I8" i="2"/>
  <c r="H8" i="2"/>
  <c r="G8" i="2"/>
  <c r="B8" i="2"/>
  <c r="L7" i="2"/>
  <c r="K7" i="2"/>
  <c r="J7" i="2"/>
  <c r="I7" i="2"/>
  <c r="H7" i="2"/>
  <c r="G7" i="2"/>
  <c r="B7" i="2"/>
  <c r="L6" i="2"/>
  <c r="L10" i="2" s="1"/>
  <c r="L18" i="2" s="1"/>
  <c r="K6" i="2"/>
  <c r="J6" i="2"/>
  <c r="I6" i="2"/>
  <c r="I10" i="2" s="1"/>
  <c r="I18" i="2" s="1"/>
  <c r="H6" i="2"/>
  <c r="H10" i="2" s="1"/>
  <c r="H18" i="2" s="1"/>
  <c r="G6" i="2"/>
  <c r="G10" i="2" s="1"/>
  <c r="G18" i="2" s="1"/>
  <c r="G34" i="2" s="1"/>
  <c r="B6" i="2"/>
  <c r="L3" i="2"/>
  <c r="L39" i="2" s="1"/>
  <c r="K3" i="2"/>
  <c r="K39" i="2" s="1"/>
  <c r="J3" i="2"/>
  <c r="J39" i="2" s="1"/>
  <c r="I3" i="2"/>
  <c r="I39" i="2" s="1"/>
  <c r="H3" i="2"/>
  <c r="H39" i="2" s="1"/>
  <c r="G3" i="2"/>
  <c r="L104" i="1"/>
  <c r="L103" i="1"/>
  <c r="K103" i="1"/>
  <c r="J103" i="1"/>
  <c r="I103" i="1"/>
  <c r="H103" i="1"/>
  <c r="G103" i="1"/>
  <c r="F103" i="1"/>
  <c r="E103" i="1"/>
  <c r="D103" i="1"/>
  <c r="C103" i="1"/>
  <c r="L102" i="1"/>
  <c r="K102" i="1"/>
  <c r="J102" i="1"/>
  <c r="I102" i="1"/>
  <c r="H102" i="1"/>
  <c r="G102" i="1"/>
  <c r="F102" i="1"/>
  <c r="E102" i="1"/>
  <c r="D102" i="1"/>
  <c r="C102" i="1"/>
  <c r="L101" i="1"/>
  <c r="K101" i="1"/>
  <c r="J101" i="1"/>
  <c r="I101" i="1"/>
  <c r="H101" i="1"/>
  <c r="G101" i="1"/>
  <c r="F101" i="1"/>
  <c r="E101" i="1"/>
  <c r="D101" i="1"/>
  <c r="C101" i="1"/>
  <c r="L100" i="1"/>
  <c r="K100" i="1"/>
  <c r="J100" i="1"/>
  <c r="I100" i="1"/>
  <c r="H100" i="1"/>
  <c r="G100" i="1"/>
  <c r="F100" i="1"/>
  <c r="E100" i="1"/>
  <c r="E104" i="1" s="1"/>
  <c r="D100" i="1"/>
  <c r="D104" i="1" s="1"/>
  <c r="C100" i="1"/>
  <c r="L99" i="1"/>
  <c r="K99" i="1"/>
  <c r="J99" i="1"/>
  <c r="I99" i="1"/>
  <c r="H99" i="1"/>
  <c r="G99" i="1"/>
  <c r="F99" i="1"/>
  <c r="E99" i="1"/>
  <c r="D99" i="1"/>
  <c r="C99" i="1"/>
  <c r="L98" i="1"/>
  <c r="K98" i="1"/>
  <c r="J98" i="1"/>
  <c r="I98" i="1"/>
  <c r="H98" i="1"/>
  <c r="G98" i="1"/>
  <c r="F98" i="1"/>
  <c r="E98" i="1"/>
  <c r="D98" i="1"/>
  <c r="C98" i="1"/>
  <c r="L97" i="1"/>
  <c r="K97" i="1"/>
  <c r="K104" i="1" s="1"/>
  <c r="J97" i="1"/>
  <c r="J104" i="1" s="1"/>
  <c r="I97" i="1"/>
  <c r="I104" i="1" s="1"/>
  <c r="H97" i="1"/>
  <c r="H104" i="1" s="1"/>
  <c r="G97" i="1"/>
  <c r="G104" i="1" s="1"/>
  <c r="F97" i="1"/>
  <c r="F104" i="1" s="1"/>
  <c r="E97" i="1"/>
  <c r="D97" i="1"/>
  <c r="C97" i="1"/>
  <c r="C104" i="1" s="1"/>
  <c r="M93" i="1"/>
  <c r="L93" i="1"/>
  <c r="K93" i="1"/>
  <c r="J93" i="1"/>
  <c r="I93" i="1"/>
  <c r="H93" i="1"/>
  <c r="G93" i="1"/>
  <c r="F93" i="1"/>
  <c r="E93" i="1"/>
  <c r="D93" i="1"/>
  <c r="C93" i="1"/>
  <c r="M92" i="1"/>
  <c r="L92" i="1"/>
  <c r="K92" i="1"/>
  <c r="J92" i="1"/>
  <c r="I92" i="1"/>
  <c r="H92" i="1"/>
  <c r="G92" i="1"/>
  <c r="F92" i="1"/>
  <c r="E92" i="1"/>
  <c r="D92" i="1"/>
  <c r="C92" i="1"/>
  <c r="M91" i="1"/>
  <c r="L91" i="1"/>
  <c r="K91" i="1"/>
  <c r="J91" i="1"/>
  <c r="I91" i="1"/>
  <c r="H91" i="1"/>
  <c r="G91" i="1"/>
  <c r="F91" i="1"/>
  <c r="E91" i="1"/>
  <c r="D91" i="1"/>
  <c r="C91" i="1"/>
  <c r="M90" i="1"/>
  <c r="L90" i="1"/>
  <c r="K90" i="1"/>
  <c r="J90" i="1"/>
  <c r="I90" i="1"/>
  <c r="H90" i="1"/>
  <c r="G90" i="1"/>
  <c r="F90" i="1"/>
  <c r="E90" i="1"/>
  <c r="D90" i="1"/>
  <c r="C90" i="1"/>
  <c r="M89" i="1"/>
  <c r="L89" i="1"/>
  <c r="K89" i="1"/>
  <c r="J89" i="1"/>
  <c r="I89" i="1"/>
  <c r="H89" i="1"/>
  <c r="G89" i="1"/>
  <c r="F89" i="1"/>
  <c r="E89" i="1"/>
  <c r="D89" i="1"/>
  <c r="C89" i="1"/>
  <c r="M88" i="1"/>
  <c r="L88" i="1"/>
  <c r="K88" i="1"/>
  <c r="J88" i="1"/>
  <c r="I88" i="1"/>
  <c r="H88" i="1"/>
  <c r="G88" i="1"/>
  <c r="F88" i="1"/>
  <c r="E88" i="1"/>
  <c r="D88" i="1"/>
  <c r="C88" i="1"/>
  <c r="M87" i="1"/>
  <c r="L87" i="1"/>
  <c r="K87" i="1"/>
  <c r="J87" i="1"/>
  <c r="I87" i="1"/>
  <c r="H87" i="1"/>
  <c r="G87" i="1"/>
  <c r="F87" i="1"/>
  <c r="E87" i="1"/>
  <c r="D87" i="1"/>
  <c r="C87" i="1"/>
  <c r="M86" i="1"/>
  <c r="L86" i="1"/>
  <c r="L94" i="1" s="1"/>
  <c r="K86" i="1"/>
  <c r="J86" i="1"/>
  <c r="I86" i="1"/>
  <c r="H86" i="1"/>
  <c r="G86" i="1"/>
  <c r="F86" i="1"/>
  <c r="E86" i="1"/>
  <c r="E94" i="1" s="1"/>
  <c r="D86" i="1"/>
  <c r="D94" i="1" s="1"/>
  <c r="C86" i="1"/>
  <c r="M85" i="1"/>
  <c r="L85" i="1"/>
  <c r="K85" i="1"/>
  <c r="J85" i="1"/>
  <c r="I85" i="1"/>
  <c r="H85" i="1"/>
  <c r="G85" i="1"/>
  <c r="F85" i="1"/>
  <c r="E85" i="1"/>
  <c r="D85" i="1"/>
  <c r="C85" i="1"/>
  <c r="M84" i="1"/>
  <c r="L84" i="1"/>
  <c r="K84" i="1"/>
  <c r="K94" i="1" s="1"/>
  <c r="K106" i="1" s="1"/>
  <c r="J84" i="1"/>
  <c r="J94" i="1" s="1"/>
  <c r="I84" i="1"/>
  <c r="I94" i="1" s="1"/>
  <c r="H84" i="1"/>
  <c r="H94" i="1" s="1"/>
  <c r="G84" i="1"/>
  <c r="G94" i="1" s="1"/>
  <c r="F84" i="1"/>
  <c r="F94" i="1" s="1"/>
  <c r="E84" i="1"/>
  <c r="D84" i="1"/>
  <c r="C84" i="1"/>
  <c r="C94" i="1" s="1"/>
  <c r="C106" i="1" s="1"/>
  <c r="L82" i="1"/>
  <c r="K82" i="1"/>
  <c r="J82" i="1"/>
  <c r="I82" i="1"/>
  <c r="H82" i="1"/>
  <c r="G82" i="1"/>
  <c r="F82" i="1"/>
  <c r="E82" i="1"/>
  <c r="D82" i="1"/>
  <c r="C82" i="1"/>
  <c r="L81" i="1"/>
  <c r="L106" i="1" s="1"/>
  <c r="K81" i="1"/>
  <c r="J81" i="1"/>
  <c r="I81" i="1"/>
  <c r="H81" i="1"/>
  <c r="G81" i="1"/>
  <c r="F81" i="1"/>
  <c r="E81" i="1"/>
  <c r="E106" i="1" s="1"/>
  <c r="D81" i="1"/>
  <c r="D106" i="1" s="1"/>
  <c r="C81" i="1"/>
  <c r="M80" i="1"/>
  <c r="L80" i="1"/>
  <c r="K80" i="1"/>
  <c r="J80" i="1"/>
  <c r="I80" i="1"/>
  <c r="H80" i="1"/>
  <c r="G80" i="1"/>
  <c r="F80" i="1"/>
  <c r="E80" i="1"/>
  <c r="D80" i="1"/>
  <c r="C80" i="1"/>
  <c r="M79" i="1"/>
  <c r="L79" i="1"/>
  <c r="K79" i="1"/>
  <c r="J79" i="1"/>
  <c r="I79" i="1"/>
  <c r="H79" i="1"/>
  <c r="G79" i="1"/>
  <c r="F79" i="1"/>
  <c r="E79" i="1"/>
  <c r="D79" i="1"/>
  <c r="C79" i="1"/>
  <c r="M78" i="1"/>
  <c r="L78" i="1"/>
  <c r="K78" i="1"/>
  <c r="J78" i="1"/>
  <c r="I78" i="1"/>
  <c r="H78" i="1"/>
  <c r="G78" i="1"/>
  <c r="F78" i="1"/>
  <c r="E78" i="1"/>
  <c r="D78" i="1"/>
  <c r="C78" i="1"/>
  <c r="M77" i="1"/>
  <c r="L77" i="1"/>
  <c r="K77" i="1"/>
  <c r="J77" i="1"/>
  <c r="I77" i="1"/>
  <c r="H77" i="1"/>
  <c r="G77" i="1"/>
  <c r="F77" i="1"/>
  <c r="E77" i="1"/>
  <c r="D77" i="1"/>
  <c r="C77" i="1"/>
  <c r="M76" i="1"/>
  <c r="L76" i="1"/>
  <c r="K76" i="1"/>
  <c r="J76" i="1"/>
  <c r="I76" i="1"/>
  <c r="H76" i="1"/>
  <c r="G76" i="1"/>
  <c r="F76" i="1"/>
  <c r="E76" i="1"/>
  <c r="D76" i="1"/>
  <c r="C76" i="1"/>
  <c r="M75" i="1"/>
  <c r="L75" i="1"/>
  <c r="K75" i="1"/>
  <c r="J75" i="1"/>
  <c r="I75" i="1"/>
  <c r="H75" i="1"/>
  <c r="G75" i="1"/>
  <c r="F75" i="1"/>
  <c r="E75" i="1"/>
  <c r="D75" i="1"/>
  <c r="C75" i="1"/>
  <c r="M74" i="1"/>
  <c r="L74" i="1"/>
  <c r="K74" i="1"/>
  <c r="J74" i="1"/>
  <c r="I74" i="1"/>
  <c r="H74" i="1"/>
  <c r="G74" i="1"/>
  <c r="F74" i="1"/>
  <c r="E74" i="1"/>
  <c r="D74" i="1"/>
  <c r="C74" i="1"/>
  <c r="L73" i="1"/>
  <c r="K73" i="1"/>
  <c r="J73" i="1"/>
  <c r="I73" i="1"/>
  <c r="H73" i="1"/>
  <c r="G73" i="1"/>
  <c r="F73" i="1"/>
  <c r="E73" i="1"/>
  <c r="D73" i="1"/>
  <c r="C73" i="1"/>
  <c r="L72" i="1"/>
  <c r="K72" i="1"/>
  <c r="J72" i="1"/>
  <c r="I72" i="1"/>
  <c r="H72" i="1"/>
  <c r="G72" i="1"/>
  <c r="F72" i="1"/>
  <c r="E72" i="1"/>
  <c r="D72" i="1"/>
  <c r="C72" i="1"/>
  <c r="F64" i="1"/>
  <c r="E64" i="1"/>
  <c r="L63" i="1"/>
  <c r="K63" i="1"/>
  <c r="J63" i="1"/>
  <c r="I63" i="1"/>
  <c r="H63" i="1"/>
  <c r="G63" i="1"/>
  <c r="F63" i="1"/>
  <c r="E63" i="1"/>
  <c r="D63" i="1"/>
  <c r="C63" i="1"/>
  <c r="L62" i="1"/>
  <c r="K62" i="1"/>
  <c r="J62" i="1"/>
  <c r="I62" i="1"/>
  <c r="H62" i="1"/>
  <c r="G62" i="1"/>
  <c r="F62" i="1"/>
  <c r="E62" i="1"/>
  <c r="D62" i="1"/>
  <c r="C62" i="1"/>
  <c r="M61" i="1"/>
  <c r="L61" i="1"/>
  <c r="L64" i="1" s="1"/>
  <c r="K61" i="1"/>
  <c r="K64" i="1" s="1"/>
  <c r="J61" i="1"/>
  <c r="J64" i="1" s="1"/>
  <c r="I61" i="1"/>
  <c r="I64" i="1" s="1"/>
  <c r="H61" i="1"/>
  <c r="H64" i="1" s="1"/>
  <c r="G61" i="1"/>
  <c r="G64" i="1" s="1"/>
  <c r="F61" i="1"/>
  <c r="E61" i="1"/>
  <c r="D61" i="1"/>
  <c r="D64" i="1" s="1"/>
  <c r="C61" i="1"/>
  <c r="C64" i="1" s="1"/>
  <c r="G59" i="1"/>
  <c r="M58" i="1"/>
  <c r="L58" i="1"/>
  <c r="K58" i="1"/>
  <c r="J58" i="1"/>
  <c r="I58" i="1"/>
  <c r="H58" i="1"/>
  <c r="G58" i="1"/>
  <c r="F58" i="1"/>
  <c r="E58" i="1"/>
  <c r="D58" i="1"/>
  <c r="C58" i="1"/>
  <c r="M57" i="1"/>
  <c r="L57" i="1"/>
  <c r="K57" i="1"/>
  <c r="J57" i="1"/>
  <c r="I57" i="1"/>
  <c r="H57" i="1"/>
  <c r="G57" i="1"/>
  <c r="F57" i="1"/>
  <c r="E57" i="1"/>
  <c r="D57" i="1"/>
  <c r="C57" i="1"/>
  <c r="M56" i="1"/>
  <c r="L56" i="1"/>
  <c r="K56" i="1"/>
  <c r="J56" i="1"/>
  <c r="I56" i="1"/>
  <c r="H56" i="1"/>
  <c r="H59" i="1" s="1"/>
  <c r="H66" i="1" s="1"/>
  <c r="G56" i="1"/>
  <c r="F56" i="1"/>
  <c r="E56" i="1"/>
  <c r="D56" i="1"/>
  <c r="C56" i="1"/>
  <c r="M55" i="1"/>
  <c r="M59" i="1" s="1"/>
  <c r="L55" i="1"/>
  <c r="L59" i="1" s="1"/>
  <c r="K55" i="1"/>
  <c r="K59" i="1" s="1"/>
  <c r="K66" i="1" s="1"/>
  <c r="J55" i="1"/>
  <c r="J59" i="1" s="1"/>
  <c r="J66" i="1" s="1"/>
  <c r="I55" i="1"/>
  <c r="I59" i="1" s="1"/>
  <c r="I66" i="1" s="1"/>
  <c r="H55" i="1"/>
  <c r="G55" i="1"/>
  <c r="F55" i="1"/>
  <c r="F59" i="1" s="1"/>
  <c r="F66" i="1" s="1"/>
  <c r="E55" i="1"/>
  <c r="E59" i="1" s="1"/>
  <c r="E66" i="1" s="1"/>
  <c r="D55" i="1"/>
  <c r="D59" i="1" s="1"/>
  <c r="C55" i="1"/>
  <c r="C59" i="1" s="1"/>
  <c r="C66" i="1" s="1"/>
  <c r="F53" i="1"/>
  <c r="F68" i="1" s="1"/>
  <c r="M52" i="1"/>
  <c r="L52" i="1"/>
  <c r="K52" i="1"/>
  <c r="J52" i="1"/>
  <c r="I52" i="1"/>
  <c r="H52" i="1"/>
  <c r="G52" i="1"/>
  <c r="F52" i="1"/>
  <c r="E52" i="1"/>
  <c r="D52" i="1"/>
  <c r="C52" i="1"/>
  <c r="M51" i="1"/>
  <c r="L51" i="1"/>
  <c r="K51" i="1"/>
  <c r="J51" i="1"/>
  <c r="I51" i="1"/>
  <c r="H51" i="1"/>
  <c r="G51" i="1"/>
  <c r="F51" i="1"/>
  <c r="E51" i="1"/>
  <c r="D51" i="1"/>
  <c r="C51" i="1"/>
  <c r="M50" i="1"/>
  <c r="L50" i="1"/>
  <c r="K50" i="1"/>
  <c r="J50" i="1"/>
  <c r="I50" i="1"/>
  <c r="H50" i="1"/>
  <c r="G50" i="1"/>
  <c r="G53" i="1" s="1"/>
  <c r="F50" i="1"/>
  <c r="E50" i="1"/>
  <c r="D50" i="1"/>
  <c r="C50" i="1"/>
  <c r="M49" i="1"/>
  <c r="M53" i="1" s="1"/>
  <c r="L49" i="1"/>
  <c r="L53" i="1" s="1"/>
  <c r="K49" i="1"/>
  <c r="K53" i="1" s="1"/>
  <c r="J49" i="1"/>
  <c r="J53" i="1" s="1"/>
  <c r="I49" i="1"/>
  <c r="I53" i="1" s="1"/>
  <c r="H49" i="1"/>
  <c r="H53" i="1" s="1"/>
  <c r="H68" i="1" s="1"/>
  <c r="G49" i="1"/>
  <c r="F49" i="1"/>
  <c r="E49" i="1"/>
  <c r="E53" i="1" s="1"/>
  <c r="D49" i="1"/>
  <c r="D53" i="1" s="1"/>
  <c r="C49" i="1"/>
  <c r="C53" i="1" s="1"/>
  <c r="L37" i="1"/>
  <c r="K37" i="1"/>
  <c r="J37" i="1"/>
  <c r="I37" i="1"/>
  <c r="H37" i="1"/>
  <c r="G37" i="1"/>
  <c r="F37" i="1"/>
  <c r="E37" i="1"/>
  <c r="D37" i="1"/>
  <c r="C37" i="1"/>
  <c r="L30" i="1"/>
  <c r="K30" i="1"/>
  <c r="J30" i="1"/>
  <c r="I30" i="1"/>
  <c r="H30" i="1"/>
  <c r="G30" i="1"/>
  <c r="F30" i="1"/>
  <c r="E30" i="1"/>
  <c r="D30" i="1"/>
  <c r="C30" i="1"/>
  <c r="K25" i="1"/>
  <c r="J25" i="1"/>
  <c r="C25" i="1"/>
  <c r="L24" i="1"/>
  <c r="L25" i="1" s="1"/>
  <c r="K24" i="1"/>
  <c r="J24" i="1"/>
  <c r="I24" i="1"/>
  <c r="I25" i="1" s="1"/>
  <c r="H24" i="1"/>
  <c r="H25" i="1" s="1"/>
  <c r="G24" i="1"/>
  <c r="G25" i="1" s="1"/>
  <c r="F24" i="1"/>
  <c r="F25" i="1" s="1"/>
  <c r="E24" i="1"/>
  <c r="E25" i="1" s="1"/>
  <c r="D24" i="1"/>
  <c r="D25" i="1" s="1"/>
  <c r="C24" i="1"/>
  <c r="L21" i="1"/>
  <c r="L22" i="1" s="1"/>
  <c r="K21" i="1"/>
  <c r="K22" i="1" s="1"/>
  <c r="J21" i="1"/>
  <c r="J22" i="1" s="1"/>
  <c r="I21" i="1"/>
  <c r="H21" i="1"/>
  <c r="G21" i="1"/>
  <c r="G22" i="1" s="1"/>
  <c r="F21" i="1"/>
  <c r="F22" i="1" s="1"/>
  <c r="E21" i="1"/>
  <c r="E22" i="1" s="1"/>
  <c r="D21" i="1"/>
  <c r="D22" i="1" s="1"/>
  <c r="C21" i="1"/>
  <c r="C22" i="1" s="1"/>
  <c r="L16" i="1"/>
  <c r="E16" i="1"/>
  <c r="D16" i="1"/>
  <c r="L15" i="1"/>
  <c r="K15" i="1"/>
  <c r="K16" i="1" s="1"/>
  <c r="J15" i="1"/>
  <c r="J16" i="1" s="1"/>
  <c r="I15" i="1"/>
  <c r="I16" i="1" s="1"/>
  <c r="H15" i="1"/>
  <c r="H16" i="1" s="1"/>
  <c r="G15" i="1"/>
  <c r="G16" i="1" s="1"/>
  <c r="F15" i="1"/>
  <c r="F16" i="1" s="1"/>
  <c r="E15" i="1"/>
  <c r="D15" i="1"/>
  <c r="C15" i="1"/>
  <c r="C16" i="1" s="1"/>
  <c r="F12" i="1"/>
  <c r="F18" i="1" s="1"/>
  <c r="E12" i="1"/>
  <c r="E18" i="1" s="1"/>
  <c r="L9" i="1"/>
  <c r="L10" i="1" s="1"/>
  <c r="K9" i="1"/>
  <c r="K10" i="1" s="1"/>
  <c r="J9" i="1"/>
  <c r="J10" i="1" s="1"/>
  <c r="I9" i="1"/>
  <c r="H9" i="1"/>
  <c r="G9" i="1"/>
  <c r="G10" i="1" s="1"/>
  <c r="F9" i="1"/>
  <c r="F10" i="1" s="1"/>
  <c r="E9" i="1"/>
  <c r="E10" i="1" s="1"/>
  <c r="D9" i="1"/>
  <c r="D10" i="1" s="1"/>
  <c r="C9" i="1"/>
  <c r="C10" i="1" s="1"/>
  <c r="G7" i="1"/>
  <c r="F7" i="1"/>
  <c r="L6" i="1"/>
  <c r="L12" i="1" s="1"/>
  <c r="K6" i="1"/>
  <c r="K12" i="1" s="1"/>
  <c r="J6" i="1"/>
  <c r="J12" i="1" s="1"/>
  <c r="I6" i="1"/>
  <c r="I22" i="1" s="1"/>
  <c r="H6" i="1"/>
  <c r="H10" i="1" s="1"/>
  <c r="G6" i="1"/>
  <c r="G12" i="1" s="1"/>
  <c r="F6" i="1"/>
  <c r="E6" i="1"/>
  <c r="E7" i="1" s="1"/>
  <c r="D6" i="1"/>
  <c r="D12" i="1" s="1"/>
  <c r="C6" i="1"/>
  <c r="C12" i="1" s="1"/>
  <c r="L3" i="1"/>
  <c r="L2" i="3" s="1"/>
  <c r="K3" i="1"/>
  <c r="K2" i="3" s="1"/>
  <c r="J3" i="1"/>
  <c r="J2" i="3" s="1"/>
  <c r="J55" i="2" s="1"/>
  <c r="I3" i="1"/>
  <c r="I2" i="3" s="1"/>
  <c r="I55" i="2" s="1"/>
  <c r="H3" i="1"/>
  <c r="H2" i="3" s="1"/>
  <c r="H55" i="2" s="1"/>
  <c r="G3" i="1"/>
  <c r="G2" i="3" s="1"/>
  <c r="G55" i="2" s="1"/>
  <c r="F3" i="1"/>
  <c r="E3" i="1"/>
  <c r="D3" i="1"/>
  <c r="D2" i="3" s="1"/>
  <c r="C3" i="1"/>
  <c r="C2" i="3" s="1"/>
  <c r="G18" i="1" l="1"/>
  <c r="G13" i="1"/>
  <c r="H34" i="2"/>
  <c r="H42" i="2"/>
  <c r="L55" i="2"/>
  <c r="K55" i="2"/>
  <c r="E19" i="1"/>
  <c r="E27" i="1"/>
  <c r="E31" i="1"/>
  <c r="I68" i="1"/>
  <c r="D66" i="1"/>
  <c r="L66" i="1"/>
  <c r="L68" i="1" s="1"/>
  <c r="I42" i="2"/>
  <c r="I48" i="2" s="1"/>
  <c r="I34" i="2"/>
  <c r="F77" i="3"/>
  <c r="J13" i="1"/>
  <c r="J18" i="1"/>
  <c r="F27" i="1"/>
  <c r="F19" i="1"/>
  <c r="J68" i="1"/>
  <c r="F106" i="1"/>
  <c r="J106" i="1"/>
  <c r="J18" i="2"/>
  <c r="C68" i="1"/>
  <c r="K68" i="1"/>
  <c r="G106" i="1"/>
  <c r="K18" i="2"/>
  <c r="C13" i="1"/>
  <c r="C18" i="1"/>
  <c r="G66" i="1"/>
  <c r="G68" i="1" s="1"/>
  <c r="H106" i="1"/>
  <c r="L42" i="2"/>
  <c r="L48" i="2" s="1"/>
  <c r="L34" i="2"/>
  <c r="H48" i="2"/>
  <c r="K18" i="1"/>
  <c r="K13" i="1"/>
  <c r="D18" i="1"/>
  <c r="D13" i="1"/>
  <c r="L18" i="1"/>
  <c r="L13" i="1"/>
  <c r="D68" i="1"/>
  <c r="E68" i="1"/>
  <c r="I106" i="1"/>
  <c r="J77" i="3"/>
  <c r="H77" i="3"/>
  <c r="M24" i="1"/>
  <c r="M25" i="1" s="1"/>
  <c r="M9" i="1"/>
  <c r="M10" i="1" s="1"/>
  <c r="M21" i="1"/>
  <c r="M22" i="1" s="1"/>
  <c r="H22" i="1"/>
  <c r="H7" i="1"/>
  <c r="I7" i="1"/>
  <c r="H12" i="1"/>
  <c r="M12" i="1" s="1"/>
  <c r="E13" i="1"/>
  <c r="I10" i="1"/>
  <c r="J7" i="1"/>
  <c r="I12" i="1"/>
  <c r="F13" i="1"/>
  <c r="M30" i="1"/>
  <c r="M6" i="1"/>
  <c r="M7" i="1" s="1"/>
  <c r="K7" i="1"/>
  <c r="D7" i="1"/>
  <c r="L7" i="1"/>
  <c r="M15" i="1"/>
  <c r="M16" i="1" s="1"/>
  <c r="G66" i="3"/>
  <c r="G77" i="3" s="1"/>
  <c r="M18" i="1" l="1"/>
  <c r="M13" i="1"/>
  <c r="I13" i="1"/>
  <c r="I18" i="1"/>
  <c r="K19" i="1"/>
  <c r="K27" i="1"/>
  <c r="C19" i="1"/>
  <c r="C27" i="1"/>
  <c r="J42" i="2"/>
  <c r="J48" i="2" s="1"/>
  <c r="J34" i="2"/>
  <c r="I35" i="2"/>
  <c r="F31" i="1"/>
  <c r="F33" i="1"/>
  <c r="F28" i="1"/>
  <c r="J19" i="1"/>
  <c r="J27" i="1"/>
  <c r="H18" i="1"/>
  <c r="H13" i="1"/>
  <c r="L19" i="1"/>
  <c r="L27" i="1"/>
  <c r="G27" i="1"/>
  <c r="G19" i="1"/>
  <c r="D19" i="1"/>
  <c r="D27" i="1"/>
  <c r="K42" i="2"/>
  <c r="K48" i="2" s="1"/>
  <c r="K34" i="2"/>
  <c r="H35" i="2"/>
  <c r="E28" i="1"/>
  <c r="E33" i="1"/>
  <c r="F34" i="1" l="1"/>
  <c r="F39" i="1"/>
  <c r="H37" i="2"/>
  <c r="I58" i="2" s="1"/>
  <c r="H44" i="2"/>
  <c r="H46" i="2" s="1"/>
  <c r="H50" i="2" s="1"/>
  <c r="I19" i="1"/>
  <c r="I27" i="1"/>
  <c r="L33" i="1"/>
  <c r="L28" i="1"/>
  <c r="L31" i="1"/>
  <c r="I37" i="2"/>
  <c r="J58" i="2" s="1"/>
  <c r="I44" i="2"/>
  <c r="I46" i="2" s="1"/>
  <c r="I50" i="2" s="1"/>
  <c r="K28" i="1"/>
  <c r="K33" i="1"/>
  <c r="K31" i="1"/>
  <c r="J33" i="1"/>
  <c r="J28" i="1"/>
  <c r="J31" i="1"/>
  <c r="M19" i="1"/>
  <c r="M27" i="1"/>
  <c r="G33" i="1"/>
  <c r="J35" i="2"/>
  <c r="G28" i="1"/>
  <c r="G31" i="1"/>
  <c r="D28" i="1"/>
  <c r="G35" i="2"/>
  <c r="D33" i="1"/>
  <c r="D31" i="1"/>
  <c r="H27" i="1"/>
  <c r="H19" i="1"/>
  <c r="E34" i="1"/>
  <c r="E39" i="1"/>
  <c r="C28" i="1"/>
  <c r="C33" i="1"/>
  <c r="C31" i="1"/>
  <c r="J37" i="2" l="1"/>
  <c r="K58" i="2" s="1"/>
  <c r="J44" i="2"/>
  <c r="J46" i="2" s="1"/>
  <c r="J50" i="2" s="1"/>
  <c r="J57" i="2" s="1"/>
  <c r="J60" i="2" s="1"/>
  <c r="I33" i="1"/>
  <c r="I28" i="1"/>
  <c r="L35" i="2"/>
  <c r="I31" i="1"/>
  <c r="H57" i="2"/>
  <c r="K35" i="2"/>
  <c r="H33" i="1"/>
  <c r="H28" i="1"/>
  <c r="H31" i="1"/>
  <c r="G34" i="1"/>
  <c r="G39" i="1"/>
  <c r="C34" i="1"/>
  <c r="C39" i="1"/>
  <c r="J39" i="1"/>
  <c r="J34" i="1"/>
  <c r="K39" i="1"/>
  <c r="K34" i="1"/>
  <c r="D34" i="1"/>
  <c r="D39" i="1"/>
  <c r="E40" i="1" s="1"/>
  <c r="G37" i="2"/>
  <c r="H58" i="2" s="1"/>
  <c r="G44" i="2"/>
  <c r="G46" i="2" s="1"/>
  <c r="G50" i="2" s="1"/>
  <c r="G57" i="2" s="1"/>
  <c r="G60" i="2" s="1"/>
  <c r="F40" i="1"/>
  <c r="F42" i="1"/>
  <c r="F43" i="1" s="1"/>
  <c r="F45" i="1" s="1"/>
  <c r="F46" i="1"/>
  <c r="L34" i="1"/>
  <c r="L39" i="1"/>
  <c r="M28" i="1"/>
  <c r="M33" i="1"/>
  <c r="M31" i="1"/>
  <c r="M37" i="1" s="1"/>
  <c r="I57" i="2"/>
  <c r="I60" i="2" s="1"/>
  <c r="E42" i="1"/>
  <c r="E43" i="1" s="1"/>
  <c r="E45" i="1" s="1"/>
  <c r="E46" i="1"/>
  <c r="M34" i="1" l="1"/>
  <c r="M39" i="1"/>
  <c r="M42" i="1" s="1"/>
  <c r="M43" i="1" s="1"/>
  <c r="M45" i="1" s="1"/>
  <c r="G40" i="1"/>
  <c r="G42" i="1"/>
  <c r="G43" i="1" s="1"/>
  <c r="G45" i="1" s="1"/>
  <c r="G46" i="1"/>
  <c r="L44" i="2"/>
  <c r="L46" i="2" s="1"/>
  <c r="L50" i="2" s="1"/>
  <c r="L57" i="2" s="1"/>
  <c r="L37" i="2"/>
  <c r="K42" i="1"/>
  <c r="K43" i="1" s="1"/>
  <c r="K45" i="1" s="1"/>
  <c r="K40" i="1"/>
  <c r="H39" i="1"/>
  <c r="H34" i="1"/>
  <c r="I39" i="1"/>
  <c r="I34" i="1"/>
  <c r="D42" i="1"/>
  <c r="D43" i="1" s="1"/>
  <c r="D45" i="1" s="1"/>
  <c r="D40" i="1"/>
  <c r="L42" i="1"/>
  <c r="L43" i="1" s="1"/>
  <c r="L45" i="1" s="1"/>
  <c r="L40" i="1"/>
  <c r="J42" i="1"/>
  <c r="J43" i="1" s="1"/>
  <c r="J45" i="1" s="1"/>
  <c r="J40" i="1"/>
  <c r="J46" i="1"/>
  <c r="K37" i="2"/>
  <c r="L58" i="2" s="1"/>
  <c r="K44" i="2"/>
  <c r="K46" i="2" s="1"/>
  <c r="K50" i="2" s="1"/>
  <c r="H60" i="2"/>
  <c r="M46" i="1"/>
  <c r="C42" i="1"/>
  <c r="C43" i="1" s="1"/>
  <c r="C45" i="1" s="1"/>
  <c r="C46" i="1"/>
  <c r="K52" i="2"/>
  <c r="L60" i="2" l="1"/>
  <c r="I40" i="1"/>
  <c r="I42" i="1"/>
  <c r="I43" i="1" s="1"/>
  <c r="I45" i="1" s="1"/>
  <c r="L46" i="1"/>
  <c r="H40" i="1"/>
  <c r="H42" i="1"/>
  <c r="H43" i="1" s="1"/>
  <c r="H45" i="1" s="1"/>
  <c r="H46" i="1"/>
  <c r="K46" i="1"/>
  <c r="K57" i="2"/>
  <c r="K60" i="2" s="1"/>
  <c r="L53" i="2"/>
  <c r="L52" i="2"/>
  <c r="K53" i="2"/>
  <c r="D46" i="1"/>
  <c r="I46" i="1" l="1"/>
</calcChain>
</file>

<file path=xl/sharedStrings.xml><?xml version="1.0" encoding="utf-8"?>
<sst xmlns="http://schemas.openxmlformats.org/spreadsheetml/2006/main" count="340" uniqueCount="202">
  <si>
    <t>Historical Financial Statements - Hindustan Unilever</t>
  </si>
  <si>
    <t>Years</t>
  </si>
  <si>
    <t>LTM</t>
  </si>
  <si>
    <t>#</t>
  </si>
  <si>
    <t>Income Statement</t>
  </si>
  <si>
    <t>Sales</t>
  </si>
  <si>
    <t>Sales Growth</t>
  </si>
  <si>
    <t>COGS</t>
  </si>
  <si>
    <t>COGS % Sales</t>
  </si>
  <si>
    <t>Gross Profit</t>
  </si>
  <si>
    <t>Gross Margin</t>
  </si>
  <si>
    <t>Selling &amp; General Exp</t>
  </si>
  <si>
    <t>S&amp;G % Sales</t>
  </si>
  <si>
    <t>EBITDA</t>
  </si>
  <si>
    <t>EBITDA % Sales(EBITDA Margin)</t>
  </si>
  <si>
    <t>Interest</t>
  </si>
  <si>
    <t>Interest % Sales</t>
  </si>
  <si>
    <t>Depreciation</t>
  </si>
  <si>
    <t>Depreciation % Sales</t>
  </si>
  <si>
    <t>Earnings Before Tax</t>
  </si>
  <si>
    <t>EBT % Tax</t>
  </si>
  <si>
    <t>Tax</t>
  </si>
  <si>
    <t>Effective Tax Rate</t>
  </si>
  <si>
    <t>Net Profit</t>
  </si>
  <si>
    <t>Net Margins</t>
  </si>
  <si>
    <t>No, of Equity</t>
  </si>
  <si>
    <t>Earnings Per Share</t>
  </si>
  <si>
    <t>EPS Growth %</t>
  </si>
  <si>
    <t>Dividened Per Share</t>
  </si>
  <si>
    <t>Dividened Payout Ratio</t>
  </si>
  <si>
    <t>Retained Earnings</t>
  </si>
  <si>
    <t>Balance Sheet</t>
  </si>
  <si>
    <t>Equity Share Capital</t>
  </si>
  <si>
    <t>Reserves</t>
  </si>
  <si>
    <t>Borrowings</t>
  </si>
  <si>
    <t>Other Liabilities</t>
  </si>
  <si>
    <t>Total Liabilities</t>
  </si>
  <si>
    <t>Fixed Asset Net Block</t>
  </si>
  <si>
    <t>Capital Work in Progress</t>
  </si>
  <si>
    <t>Investments</t>
  </si>
  <si>
    <t>Other Assets</t>
  </si>
  <si>
    <t>Total Non Current Asset</t>
  </si>
  <si>
    <t>Receivables</t>
  </si>
  <si>
    <t>Inventory</t>
  </si>
  <si>
    <t>Cash &amp; Bank</t>
  </si>
  <si>
    <t>Total Current Asset</t>
  </si>
  <si>
    <t>Total Asset</t>
  </si>
  <si>
    <t>Check</t>
  </si>
  <si>
    <t>Cash Flow Statement</t>
  </si>
  <si>
    <t xml:space="preserve"> Operating Activity -</t>
  </si>
  <si>
    <t>Profit from operations</t>
  </si>
  <si>
    <t>Payables</t>
  </si>
  <si>
    <t>Loans Advances</t>
  </si>
  <si>
    <t>Operating Deposits</t>
  </si>
  <si>
    <t>Other WC items</t>
  </si>
  <si>
    <t>Working capital changes</t>
  </si>
  <si>
    <t>Direct taxes</t>
  </si>
  <si>
    <t>Other operating items</t>
  </si>
  <si>
    <t>Exceptional CF items</t>
  </si>
  <si>
    <t>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</si>
  <si>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</si>
  <si>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</si>
  <si>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</si>
  <si>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</si>
  <si>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</si>
  <si>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</si>
  <si>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</si>
  <si>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</si>
  <si>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</si>
  <si>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</si>
  <si>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Cash from Investing Activity -</t>
  </si>
  <si>
    <t>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</si>
  <si>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</si>
  <si>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</si>
  <si>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</si>
  <si>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</si>
  <si>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</si>
  <si>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</si>
  <si>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</si>
  <si>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Financing Activity -</t>
  </si>
  <si>
    <t>Net Cash Flow</t>
  </si>
  <si>
    <t>Calculation Of ROIC</t>
  </si>
  <si>
    <t>Current Asset</t>
  </si>
  <si>
    <t xml:space="preserve"> Total Current Assets</t>
  </si>
  <si>
    <t>Current Liabilities</t>
  </si>
  <si>
    <t xml:space="preserve"> Total Current Liabilities</t>
  </si>
  <si>
    <t>Net Working Capital</t>
  </si>
  <si>
    <t>Non-Current Assets</t>
  </si>
  <si>
    <t>Gross Block</t>
  </si>
  <si>
    <t>Net Non-Current Asset</t>
  </si>
  <si>
    <t>Invested Capital(Net Working Capital)</t>
  </si>
  <si>
    <t>EBIT</t>
  </si>
  <si>
    <t>ROIC</t>
  </si>
  <si>
    <t>Net CAPEX</t>
  </si>
  <si>
    <t>Change in Working Capital</t>
  </si>
  <si>
    <t>Marginal Tax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</si>
  <si>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</si>
  <si>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</si>
  <si>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</si>
  <si>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</si>
  <si>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</si>
  <si>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</si>
  <si>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</si>
  <si>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Balance Sheet of Hindustan Unilever</t>
  </si>
  <si>
    <t>Particulars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</si>
  <si>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</si>
  <si>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</si>
  <si>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</si>
  <si>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</si>
  <si>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</si>
  <si>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</si>
  <si>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</si>
  <si>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</si>
  <si>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</si>
  <si>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</si>
  <si>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</si>
  <si>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</si>
  <si>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</si>
  <si>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</si>
  <si>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</si>
  <si>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</si>
  <si>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</si>
  <si>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</si>
  <si>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</si>
  <si>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</si>
  <si>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Accumulated Depreciation</t>
  </si>
  <si>
    <t>Net Block</t>
  </si>
  <si>
    <t>CWIP</t>
  </si>
  <si>
    <t>Other Assets -</t>
  </si>
  <si>
    <t>Inventories</t>
  </si>
  <si>
    <t>Trade receivables -</t>
  </si>
  <si>
    <t>Receivables over 6m</t>
  </si>
  <si>
    <t>Receivables under 6m</t>
  </si>
  <si>
    <t>Prov for Doubtful</t>
  </si>
  <si>
    <t>Cash Equivalents</t>
  </si>
  <si>
    <t>Loans n  Advances</t>
  </si>
  <si>
    <t>Other asset items</t>
  </si>
  <si>
    <t>Total Assets</t>
  </si>
  <si>
    <t>Cash from Operating Activity -</t>
  </si>
  <si>
    <t>Cash from Investing Activity -</t>
  </si>
  <si>
    <t>Invest in subsidiaries</t>
  </si>
  <si>
    <t>Loans to subsidiaries</t>
  </si>
  <si>
    <t>Cash from Financing Activity -</t>
  </si>
  <si>
    <t>COMPANY NAME</t>
  </si>
  <si>
    <t>HINDUSTAN UNILEVER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</si>
  <si>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</si>
  <si>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</si>
  <si>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</si>
  <si>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</si>
  <si>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</si>
  <si>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</si>
  <si>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</si>
  <si>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</si>
  <si>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</si>
  <si>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</si>
  <si>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</si>
  <si>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</si>
  <si>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</si>
  <si>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</si>
  <si>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</si>
  <si>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</si>
  <si>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</si>
  <si>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</si>
  <si>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</si>
  <si>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</si>
  <si>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</si>
  <si>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</si>
  <si>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</si>
  <si>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</si>
  <si>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</si>
  <si>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Total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</si>
  <si>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</si>
  <si>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</si>
  <si>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</si>
  <si>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</si>
  <si>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</si>
  <si>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</si>
  <si>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</si>
  <si>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</si>
  <si>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</si>
  <si>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</si>
  <si>
    <t>Hindustan Unilever Ltd — Variance Analysis (FY2016–FY2025)</t>
  </si>
  <si>
    <t>All figures in ₹ Crores | Source: Screener.in</t>
  </si>
  <si>
    <t>SECTION 1 — REVENUE &amp; PROFIT (₹ Cr)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</si>
  <si>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</si>
  <si>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</si>
  <si>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</si>
  <si>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</si>
  <si>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</si>
  <si>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</si>
  <si>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</si>
  <si>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</si>
  <si>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</si>
  <si>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</si>
  <si>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Selling and Admin</t>
  </si>
  <si>
    <t>SECTION 2 — YEAR-ON-YEAR GROWTH (%)</t>
  </si>
  <si>
    <t>Sales Growth %</t>
  </si>
  <si>
    <t>—</t>
  </si>
  <si>
    <t>Net Profit Growth %</t>
  </si>
  <si>
    <t>SECTION 3 — MARGIN ANALYSIS (% of Sales)</t>
  </si>
  <si>
    <t>Gross Margin %</t>
  </si>
  <si>
    <t>Net 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</si>
</sst>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4" formatCode="_(* #,##0.00_);_(* \(#,##0.00\);_(* \-??_);_(@_)"/>
    <numFmt numFmtId="165" formatCode="mmm\-yy"/>
    <numFmt numFmtId="166" formatCode="&quot;₹ &quot;#,##0.0;&quot;(₹&quot;#,##0.0\);&quot; -&quot;"/>
    <numFmt numFmtId="167" formatCode="##0.00%;\(#,##0.00%\);&quot; -&quot;"/>
    <numFmt numFmtId="168" formatCode="&quot;₹ &quot;#,##0.00"/>
    <numFmt numFmtId="169" formatCode="&quot;₹ &quot;#,##0.0"/>
    <numFmt numFmtId="170" formatCode="#,##0.0;\(#,##0.0\);\-"/>
    <numFmt numFmtId="171" formatCode="#,##0.0"/>
    <numFmt numFmtId="172" formatCode="##0.0;\(#,##0.0\);&quot; -&quot;"/>
    <numFmt numFmtId="173" formatCode="0.00%;\(0.00%\);\-"/>
    <numFmt numFmtId="174" formatCode="#,##0;\(#,##0.0\);\-"/>
    <numFmt numFmtId="175" formatCode="0;[Black]\(0\)"/>
    <numFmt numFmtId="176" formatCode="\-;[Black]\(0\)"/>
    <numFmt numFmtId="177" formatCode="_ * #,##0.00_ ;_ * \-#,##0.00_ ;_ * \-??_ ;_ @_ "/>
    <numFmt numFmtId="178" formatCode="[$-409]mmm\-yy;@"/>
    <numFmt numFmtId="179" formatCode="0.0%"/>
  </numFmts>
  <fonts count="18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i/>
      <sz val="11"/>
      <color theme="1" tint="0.4998931852168340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rgb="FF22222F"/>
      <name val="Arial"/>
      <family val="2"/>
      <charset val="1"/>
    </font>
    <font>
      <b/>
      <sz val="11"/>
      <color rgb="FFFFFF00"/>
      <name val="Calibri"/>
      <family val="2"/>
      <charset val="1"/>
    </font>
    <font>
      <i/>
      <sz val="11"/>
      <color rgb="FF0070C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1"/>
      <color theme="1"/>
      <name val="Calibri"/>
      <family val="2"/>
      <charset val="1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/>
        <bgColor rgb="FF8497B0"/>
      </patternFill>
    </fill>
    <fill>
      <patternFill patternType="solid">
        <fgColor theme="8" tint="-0.499984740745262"/>
        <bgColor rgb="FF1F4E79"/>
      </patternFill>
    </fill>
    <fill>
      <patternFill patternType="solid">
        <fgColor theme="7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theme="3" tint="0.39988402966399123"/>
        <bgColor rgb="FF7F7F7F"/>
      </patternFill>
    </fill>
    <fill>
      <patternFill patternType="solid">
        <fgColor theme="4" tint="0.59987182226020086"/>
        <bgColor rgb="FFDEEAF1"/>
      </patternFill>
    </fill>
    <fill>
      <patternFill patternType="solid">
        <fgColor rgb="FF0275D8"/>
        <bgColor rgb="FF0070C0"/>
      </patternFill>
    </fill>
    <fill>
      <patternFill patternType="solid">
        <fgColor rgb="FF1F4E79"/>
        <bgColor rgb="FF203864"/>
      </patternFill>
    </fill>
    <fill>
      <patternFill patternType="solid">
        <fgColor rgb="FF2E75B6"/>
        <bgColor rgb="FF0070C0"/>
      </patternFill>
    </fill>
    <fill>
      <patternFill patternType="solid">
        <fgColor rgb="FFDEEAF1"/>
        <bgColor rgb="FFCCFFFF"/>
      </patternFill>
    </fill>
  </fills>
  <borders count="18">
    <border>
      <left/>
      <right/>
      <top/>
      <bottom/>
      <diagonal/>
    </border>
    <border>
      <left/>
      <right/>
      <top style="thin">
        <color theme="3" tint="0.39988402966399123"/>
      </top>
      <bottom style="thin">
        <color theme="3" tint="0.39988402966399123"/>
      </bottom>
      <diagonal/>
    </border>
    <border>
      <left/>
      <right/>
      <top style="thick">
        <color theme="3" tint="0.39988402966399123"/>
      </top>
      <bottom/>
      <diagonal/>
    </border>
    <border>
      <left/>
      <right/>
      <top style="thin">
        <color theme="3" tint="0.39988402966399123"/>
      </top>
      <bottom/>
      <diagonal/>
    </border>
    <border>
      <left/>
      <right/>
      <top style="thin">
        <color theme="3" tint="0.39988402966399123"/>
      </top>
      <bottom style="thick">
        <color theme="3" tint="0.39988402966399123"/>
      </bottom>
      <diagonal/>
    </border>
    <border>
      <left/>
      <right/>
      <top style="hair">
        <color theme="4"/>
      </top>
      <bottom style="hair">
        <color theme="4"/>
      </bottom>
      <diagonal/>
    </border>
    <border>
      <left/>
      <right/>
      <top style="hair">
        <color theme="4" tint="0.39988402966399123"/>
      </top>
      <bottom style="hair">
        <color theme="4" tint="0.39988402966399123"/>
      </bottom>
      <diagonal/>
    </border>
    <border>
      <left/>
      <right/>
      <top style="hair">
        <color theme="4" tint="0.39988402966399123"/>
      </top>
      <bottom/>
      <diagonal/>
    </border>
    <border>
      <left/>
      <right/>
      <top style="thin">
        <color theme="4" tint="0.59987182226020086"/>
      </top>
      <bottom style="thick">
        <color theme="4" tint="0.59987182226020086"/>
      </bottom>
      <diagonal/>
    </border>
    <border>
      <left/>
      <right/>
      <top style="hair">
        <color theme="4" tint="0.59987182226020086"/>
      </top>
      <bottom style="hair">
        <color theme="4" tint="0.59987182226020086"/>
      </bottom>
      <diagonal/>
    </border>
    <border>
      <left/>
      <right/>
      <top style="hair">
        <color theme="4" tint="0.59987182226020086"/>
      </top>
      <bottom/>
      <diagonal/>
    </border>
    <border>
      <left/>
      <right/>
      <top/>
      <bottom style="hair">
        <color theme="4" tint="0.59987182226020086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thin">
        <color theme="4" tint="0.39988402966399123"/>
      </top>
      <bottom style="thick">
        <color theme="4" tint="0.39988402966399123"/>
      </bottom>
      <diagonal/>
    </border>
    <border>
      <left/>
      <right/>
      <top style="thin">
        <color theme="4" tint="0.39988402966399123"/>
      </top>
      <bottom style="medium">
        <color theme="4" tint="0.39988402966399123"/>
      </bottom>
      <diagonal/>
    </border>
    <border>
      <left/>
      <right/>
      <top style="thin">
        <color theme="4" tint="0.59987182226020086"/>
      </top>
      <bottom style="medium">
        <color theme="4" tint="0.59987182226020086"/>
      </bottom>
      <diagonal/>
    </border>
    <border>
      <left/>
      <right/>
      <top style="thick">
        <color theme="4" tint="0.39988402966399123"/>
      </top>
      <bottom style="thick">
        <color theme="4" tint="0.3998840296639912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1" fillId="2" borderId="0"/>
    <xf numFmtId="164" fontId="16" fillId="0" borderId="0"/>
    <xf numFmtId="0" fontId="16" fillId="0" borderId="0"/>
  </cellStyleXfs>
  <cellXfs count="90">
    <xf numFmtId="0" fontId="0" fillId="0" borderId="0" xfId="0"/>
    <xf numFmtId="0" fontId="13" fillId="10" borderId="0" xfId="0" applyFont="1" applyFill="1" applyBorder="1" applyAlignment="1"/>
    <xf numFmtId="0" fontId="12" fillId="0" borderId="0" xfId="0" applyFont="1" applyBorder="1" applyAlignment="1"/>
    <xf numFmtId="0" fontId="11" fillId="9" borderId="0" xfId="0" applyFont="1" applyFill="1" applyBorder="1" applyAlignment="1">
      <alignment horizontal="center" vertical="center"/>
    </xf>
    <xf numFmtId="177" fontId="9" fillId="2" borderId="0" xfId="0" applyNumberFormat="1" applyFont="1" applyFill="1" applyBorder="1" applyAlignment="1">
      <alignment horizontal="center"/>
    </xf>
    <xf numFmtId="177" fontId="8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Alignment="1"/>
    <xf numFmtId="0" fontId="1" fillId="3" borderId="0" xfId="0" applyFont="1" applyFill="1" applyAlignment="1"/>
    <xf numFmtId="165" fontId="1" fillId="3" borderId="0" xfId="0" applyNumberFormat="1" applyFont="1" applyFill="1" applyAlignment="1"/>
    <xf numFmtId="165" fontId="1" fillId="3" borderId="0" xfId="0" applyNumberFormat="1" applyFont="1" applyFill="1" applyAlignment="1">
      <alignment horizontal="right"/>
    </xf>
    <xf numFmtId="0" fontId="1" fillId="0" borderId="0" xfId="0" applyFont="1" applyAlignment="1"/>
    <xf numFmtId="165" fontId="1" fillId="0" borderId="0" xfId="0" applyNumberFormat="1" applyFont="1" applyAlignment="1"/>
    <xf numFmtId="165" fontId="1" fillId="0" borderId="0" xfId="0" applyNumberFormat="1" applyFont="1" applyAlignment="1">
      <alignment horizontal="right"/>
    </xf>
    <xf numFmtId="0" fontId="0" fillId="4" borderId="0" xfId="0" applyFont="1" applyFill="1" applyAlignment="1"/>
    <xf numFmtId="165" fontId="1" fillId="4" borderId="0" xfId="0" applyNumberFormat="1" applyFont="1" applyFill="1" applyAlignment="1"/>
    <xf numFmtId="165" fontId="1" fillId="4" borderId="0" xfId="0" applyNumberFormat="1" applyFont="1" applyFill="1" applyAlignment="1">
      <alignment horizontal="right"/>
    </xf>
    <xf numFmtId="166" fontId="0" fillId="0" borderId="0" xfId="0" applyNumberFormat="1" applyAlignment="1">
      <alignment horizontal="right"/>
    </xf>
    <xf numFmtId="0" fontId="2" fillId="0" borderId="0" xfId="0" applyFont="1" applyAlignment="1"/>
    <xf numFmtId="167" fontId="2" fillId="0" borderId="0" xfId="0" applyNumberFormat="1" applyFont="1" applyAlignment="1"/>
    <xf numFmtId="166" fontId="0" fillId="0" borderId="0" xfId="0" applyNumberFormat="1" applyAlignment="1"/>
    <xf numFmtId="168" fontId="0" fillId="0" borderId="0" xfId="0" applyNumberFormat="1" applyAlignment="1"/>
    <xf numFmtId="164" fontId="0" fillId="0" borderId="0" xfId="0" applyNumberFormat="1" applyAlignment="1"/>
    <xf numFmtId="0" fontId="3" fillId="0" borderId="0" xfId="0" applyFont="1" applyAlignment="1"/>
    <xf numFmtId="166" fontId="3" fillId="0" borderId="0" xfId="0" applyNumberFormat="1" applyFont="1" applyAlignment="1"/>
    <xf numFmtId="169" fontId="3" fillId="0" borderId="0" xfId="0" applyNumberFormat="1" applyFont="1" applyAlignment="1"/>
    <xf numFmtId="0" fontId="4" fillId="0" borderId="0" xfId="0" applyFont="1" applyAlignment="1"/>
    <xf numFmtId="0" fontId="0" fillId="0" borderId="0" xfId="0" applyAlignment="1"/>
    <xf numFmtId="3" fontId="5" fillId="5" borderId="0" xfId="0" applyNumberFormat="1" applyFont="1" applyFill="1" applyAlignment="1">
      <alignment horizontal="right" vertical="center" wrapText="1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/>
    <xf numFmtId="165" fontId="6" fillId="6" borderId="0" xfId="0" applyNumberFormat="1" applyFont="1" applyFill="1" applyAlignment="1"/>
    <xf numFmtId="0" fontId="0" fillId="0" borderId="1" xfId="0" applyBorder="1" applyAlignment="1"/>
    <xf numFmtId="170" fontId="0" fillId="0" borderId="1" xfId="0" applyNumberFormat="1" applyBorder="1" applyAlignment="1"/>
    <xf numFmtId="0" fontId="3" fillId="0" borderId="2" xfId="0" applyFont="1" applyBorder="1" applyAlignment="1"/>
    <xf numFmtId="170" fontId="3" fillId="0" borderId="2" xfId="0" applyNumberFormat="1" applyFont="1" applyBorder="1" applyAlignment="1"/>
    <xf numFmtId="171" fontId="0" fillId="0" borderId="0" xfId="0" applyNumberFormat="1" applyAlignment="1"/>
    <xf numFmtId="170" fontId="0" fillId="0" borderId="3" xfId="0" applyNumberFormat="1" applyBorder="1" applyAlignment="1"/>
    <xf numFmtId="0" fontId="3" fillId="0" borderId="4" xfId="0" applyFont="1" applyBorder="1" applyAlignment="1"/>
    <xf numFmtId="171" fontId="3" fillId="0" borderId="4" xfId="0" applyNumberFormat="1" applyFont="1" applyBorder="1" applyAlignment="1"/>
    <xf numFmtId="172" fontId="0" fillId="0" borderId="1" xfId="0" applyNumberFormat="1" applyBorder="1" applyAlignment="1"/>
    <xf numFmtId="172" fontId="3" fillId="0" borderId="2" xfId="0" applyNumberFormat="1" applyFont="1" applyBorder="1" applyAlignment="1"/>
    <xf numFmtId="172" fontId="0" fillId="0" borderId="0" xfId="0" applyNumberFormat="1" applyAlignment="1"/>
    <xf numFmtId="172" fontId="3" fillId="0" borderId="4" xfId="0" applyNumberFormat="1" applyFont="1" applyBorder="1" applyAlignment="1"/>
    <xf numFmtId="172" fontId="3" fillId="0" borderId="0" xfId="0" applyNumberFormat="1" applyFont="1" applyAlignment="1"/>
    <xf numFmtId="173" fontId="0" fillId="0" borderId="0" xfId="0" applyNumberFormat="1" applyAlignment="1"/>
    <xf numFmtId="174" fontId="0" fillId="0" borderId="0" xfId="0" applyNumberFormat="1" applyAlignment="1"/>
    <xf numFmtId="9" fontId="7" fillId="0" borderId="0" xfId="0" applyNumberFormat="1" applyFont="1" applyAlignment="1"/>
    <xf numFmtId="173" fontId="3" fillId="0" borderId="0" xfId="0" applyNumberFormat="1" applyFont="1" applyAlignment="1"/>
    <xf numFmtId="10" fontId="0" fillId="0" borderId="0" xfId="0" applyNumberFormat="1" applyAlignment="1"/>
    <xf numFmtId="10" fontId="3" fillId="0" borderId="0" xfId="0" applyNumberFormat="1" applyFont="1" applyAlignment="1"/>
    <xf numFmtId="0" fontId="3" fillId="7" borderId="0" xfId="0" applyFont="1" applyFill="1" applyAlignment="1"/>
    <xf numFmtId="165" fontId="3" fillId="7" borderId="0" xfId="0" applyNumberFormat="1" applyFont="1" applyFill="1" applyAlignment="1"/>
    <xf numFmtId="0" fontId="0" fillId="0" borderId="5" xfId="0" applyBorder="1" applyAlignment="1"/>
    <xf numFmtId="3" fontId="0" fillId="0" borderId="5" xfId="0" applyNumberFormat="1" applyBorder="1" applyAlignment="1"/>
    <xf numFmtId="3" fontId="0" fillId="0" borderId="0" xfId="0" applyNumberFormat="1" applyAlignment="1"/>
    <xf numFmtId="0" fontId="0" fillId="0" borderId="6" xfId="0" applyBorder="1" applyAlignment="1"/>
    <xf numFmtId="3" fontId="0" fillId="0" borderId="6" xfId="0" applyNumberFormat="1" applyBorder="1" applyAlignment="1"/>
    <xf numFmtId="3" fontId="0" fillId="0" borderId="7" xfId="0" applyNumberFormat="1" applyBorder="1" applyAlignment="1"/>
    <xf numFmtId="0" fontId="3" fillId="0" borderId="8" xfId="0" applyFont="1" applyBorder="1" applyAlignment="1"/>
    <xf numFmtId="3" fontId="3" fillId="0" borderId="8" xfId="0" applyNumberFormat="1" applyFont="1" applyBorder="1" applyAlignment="1"/>
    <xf numFmtId="0" fontId="0" fillId="0" borderId="9" xfId="0" applyBorder="1" applyAlignment="1"/>
    <xf numFmtId="3" fontId="0" fillId="0" borderId="9" xfId="0" applyNumberFormat="1" applyBorder="1" applyAlignment="1"/>
    <xf numFmtId="3" fontId="0" fillId="0" borderId="8" xfId="0" applyNumberFormat="1" applyBorder="1" applyAlignment="1"/>
    <xf numFmtId="3" fontId="0" fillId="0" borderId="10" xfId="0" applyNumberFormat="1" applyBorder="1" applyAlignment="1"/>
    <xf numFmtId="175" fontId="0" fillId="0" borderId="11" xfId="0" applyNumberFormat="1" applyBorder="1" applyAlignment="1"/>
    <xf numFmtId="176" fontId="0" fillId="0" borderId="11" xfId="0" applyNumberFormat="1" applyBorder="1" applyAlignment="1"/>
    <xf numFmtId="0" fontId="3" fillId="0" borderId="12" xfId="0" applyFont="1" applyBorder="1" applyAlignment="1"/>
    <xf numFmtId="3" fontId="3" fillId="0" borderId="12" xfId="0" applyNumberFormat="1" applyFont="1" applyBorder="1" applyAlignment="1"/>
    <xf numFmtId="0" fontId="3" fillId="0" borderId="13" xfId="0" applyFont="1" applyBorder="1" applyAlignment="1"/>
    <xf numFmtId="3" fontId="3" fillId="0" borderId="13" xfId="0" applyNumberFormat="1" applyFont="1" applyBorder="1" applyAlignment="1"/>
    <xf numFmtId="0" fontId="3" fillId="0" borderId="14" xfId="0" applyFont="1" applyBorder="1" applyAlignment="1"/>
    <xf numFmtId="176" fontId="3" fillId="0" borderId="15" xfId="0" applyNumberFormat="1" applyFont="1" applyBorder="1" applyAlignment="1"/>
    <xf numFmtId="0" fontId="3" fillId="0" borderId="16" xfId="0" applyFont="1" applyBorder="1" applyAlignment="1"/>
    <xf numFmtId="3" fontId="3" fillId="0" borderId="16" xfId="0" applyNumberFormat="1" applyFont="1" applyBorder="1" applyAlignment="1"/>
    <xf numFmtId="177" fontId="0" fillId="0" borderId="0" xfId="0" applyNumberFormat="1" applyAlignment="1"/>
    <xf numFmtId="177" fontId="3" fillId="0" borderId="0" xfId="0" applyNumberFormat="1" applyFont="1" applyAlignment="1"/>
    <xf numFmtId="178" fontId="9" fillId="8" borderId="0" xfId="0" applyNumberFormat="1" applyFont="1" applyFill="1" applyAlignment="1"/>
    <xf numFmtId="178" fontId="9" fillId="8" borderId="0" xfId="0" applyNumberFormat="1" applyFont="1" applyFill="1" applyAlignment="1">
      <alignment horizontal="center"/>
    </xf>
    <xf numFmtId="178" fontId="10" fillId="0" borderId="0" xfId="0" applyNumberFormat="1" applyFont="1" applyAlignment="1"/>
    <xf numFmtId="165" fontId="5" fillId="5" borderId="0" xfId="0" applyNumberFormat="1" applyFont="1" applyFill="1" applyAlignment="1">
      <alignment horizontal="right" vertical="center" wrapText="1"/>
    </xf>
    <xf numFmtId="0" fontId="13" fillId="10" borderId="17" xfId="0" applyFont="1" applyFill="1" applyBorder="1" applyAlignment="1">
      <alignment horizontal="center" vertical="center"/>
    </xf>
    <xf numFmtId="0" fontId="14" fillId="11" borderId="17" xfId="0" applyFont="1" applyFill="1" applyBorder="1" applyAlignment="1"/>
    <xf numFmtId="0" fontId="15" fillId="0" borderId="17" xfId="0" applyFont="1" applyBorder="1" applyAlignment="1"/>
    <xf numFmtId="0" fontId="15" fillId="11" borderId="17" xfId="0" applyFont="1" applyFill="1" applyBorder="1" applyAlignment="1"/>
    <xf numFmtId="0" fontId="14" fillId="0" borderId="17" xfId="0" applyFont="1" applyBorder="1" applyAlignment="1"/>
    <xf numFmtId="0" fontId="0" fillId="0" borderId="0" xfId="0" applyFont="1" applyAlignment="1">
      <alignment horizontal="center" vertical="center"/>
    </xf>
    <xf numFmtId="3" fontId="17" fillId="0" borderId="17" xfId="0" applyNumberFormat="1" applyFont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 vertical="center"/>
    </xf>
  </cellXfs>
  <cellStyles count="4">
    <cellStyle name="Accent6 2" xfId="1"/>
    <cellStyle name="Comma 2" xfId="2"/>
    <cellStyle name="Normal" xfId="0" builtinId="0"/>
    <cellStyle name="Normal 2" xfId="3"/>
  </cellStyles>
  <dxfs count="1">
    <dxf>
      <font>
        <b/>
        <color rgb="FFFFFFFF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400"/>
      <rgbColor rgb="FF00008B"/>
      <rgbColor rgb="FF808000"/>
      <rgbColor rgb="FF800080"/>
      <rgbColor rgb="FF0070C0"/>
      <rgbColor rgb="FFBFBFBF"/>
      <rgbColor rgb="FF7F7F7F"/>
      <rgbColor rgb="FF5B9BD5"/>
      <rgbColor rgb="FF993366"/>
      <rgbColor rgb="FFFFFFCC"/>
      <rgbColor rgb="FFDEEAF1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275D8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595959"/>
      <rgbColor rgb="FF8497B0"/>
      <rgbColor rgb="FF203864"/>
      <rgbColor rgb="FF70AD47"/>
      <rgbColor rgb="FF003300"/>
      <rgbColor rgb="FF333300"/>
      <rgbColor rgb="FF993300"/>
      <rgbColor rgb="FF993366"/>
      <rgbColor rgb="FF1F4E79"/>
      <rgbColor rgb="FF2222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:/Geva/Projects/Financial%20Modelling/Session%204-TAMO-%20FS%20Analysis/Data%20-Tata%20Motors/Tata%20Mo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ustomization"/>
      <sheetName val="Datasheet"/>
      <sheetName val="Data Shee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60"/>
  <sheetViews>
    <sheetView showGridLines="0" topLeftCell="A44" zoomScaleNormal="100" workbookViewId="0">
      <selection activeCell="J67" sqref="J67"/>
    </sheetView>
  </sheetViews>
  <sheetFormatPr defaultColWidth="8.6640625" defaultRowHeight="14.4" x14ac:dyDescent="0.3"/>
  <cols>
    <col min="1" max="1" width="1.88671875" style="8" customWidth="1"/>
    <col min="7" max="7" width="11.88671875" style="8" customWidth="1"/>
    <col min="8" max="8" width="9.33203125" style="8" customWidth="1"/>
    <col min="9" max="9" width="9.5546875" style="8" customWidth="1"/>
    <col min="10" max="10" width="10.44140625" style="8" customWidth="1"/>
    <col min="11" max="11" width="10.109375" style="8" customWidth="1"/>
  </cols>
  <sheetData>
    <row r="3" spans="2:12" ht="14.25" customHeight="1" x14ac:dyDescent="0.3">
      <c r="B3" s="31" t="s">
        <v>81</v>
      </c>
      <c r="C3" s="31"/>
      <c r="D3" s="31"/>
      <c r="E3" s="31"/>
      <c r="F3" s="31"/>
      <c r="G3" s="32">
        <f>'Data Sheet'!F16</f>
        <v>43921</v>
      </c>
      <c r="H3" s="32">
        <f>'Data Sheet'!G16</f>
        <v>44286</v>
      </c>
      <c r="I3" s="32">
        <f>'Data Sheet'!H16</f>
        <v>44651</v>
      </c>
      <c r="J3" s="32">
        <f>'Data Sheet'!I16</f>
        <v>45016</v>
      </c>
      <c r="K3" s="32">
        <f>'Data Sheet'!J16</f>
        <v>45382</v>
      </c>
      <c r="L3" s="32">
        <f>'Data Sheet'!K16</f>
        <v>45747</v>
      </c>
    </row>
    <row r="5" spans="2:12" ht="14.25" customHeight="1" x14ac:dyDescent="0.3">
      <c r="B5" s="24" t="s">
        <v>82</v>
      </c>
    </row>
    <row r="6" spans="2:12" ht="14.25" customHeight="1" x14ac:dyDescent="0.3">
      <c r="B6" s="33" t="str">
        <f>'Raw Data'!B34</f>
        <v>Inventories</v>
      </c>
      <c r="C6" s="33"/>
      <c r="D6" s="33"/>
      <c r="E6" s="33"/>
      <c r="F6" s="33"/>
      <c r="G6" s="34">
        <f>'Raw Data'!G34</f>
        <v>2767</v>
      </c>
      <c r="H6" s="34">
        <f>'Raw Data'!H34</f>
        <v>3579</v>
      </c>
      <c r="I6" s="34">
        <f>'Raw Data'!I34</f>
        <v>4096</v>
      </c>
      <c r="J6" s="34">
        <f>'Raw Data'!J34</f>
        <v>4251</v>
      </c>
      <c r="K6" s="34">
        <f>'Raw Data'!K34</f>
        <v>4022</v>
      </c>
      <c r="L6" s="34">
        <f>'Raw Data'!L34</f>
        <v>4415</v>
      </c>
    </row>
    <row r="7" spans="2:12" ht="14.25" customHeight="1" x14ac:dyDescent="0.3">
      <c r="B7" s="33" t="str">
        <f>'Raw Data'!B35</f>
        <v>Trade receivables -</v>
      </c>
      <c r="C7" s="33"/>
      <c r="D7" s="33"/>
      <c r="E7" s="33"/>
      <c r="F7" s="33"/>
      <c r="G7" s="34">
        <f>'Raw Data'!G35</f>
        <v>1149</v>
      </c>
      <c r="H7" s="34">
        <f>'Raw Data'!H35</f>
        <v>1758</v>
      </c>
      <c r="I7" s="34">
        <f>'Raw Data'!I35</f>
        <v>2236</v>
      </c>
      <c r="J7" s="34">
        <f>'Raw Data'!J35</f>
        <v>3079</v>
      </c>
      <c r="K7" s="34">
        <f>'Raw Data'!K35</f>
        <v>2997</v>
      </c>
      <c r="L7" s="34">
        <f>'Raw Data'!L35</f>
        <v>3819</v>
      </c>
    </row>
    <row r="8" spans="2:12" ht="14.25" customHeight="1" x14ac:dyDescent="0.3">
      <c r="B8" s="33" t="str">
        <f>'Raw Data'!B40</f>
        <v>Loans n  Advances</v>
      </c>
      <c r="C8" s="33"/>
      <c r="D8" s="33"/>
      <c r="E8" s="33"/>
      <c r="F8" s="33"/>
      <c r="G8" s="34">
        <f>'Raw Data'!G40</f>
        <v>19</v>
      </c>
      <c r="H8" s="34">
        <f>'Raw Data'!H40</f>
        <v>78</v>
      </c>
      <c r="I8" s="34">
        <f>'Raw Data'!I40</f>
        <v>170</v>
      </c>
      <c r="J8" s="34">
        <f>'Raw Data'!J40</f>
        <v>188</v>
      </c>
      <c r="K8" s="34">
        <f>'Raw Data'!K40</f>
        <v>172</v>
      </c>
      <c r="L8" s="34">
        <f>'Raw Data'!L40</f>
        <v>242</v>
      </c>
    </row>
    <row r="9" spans="2:12" ht="15" customHeight="1" x14ac:dyDescent="0.3">
      <c r="B9" s="8" t="str">
        <f>'Raw Data'!B41</f>
        <v>Other asset items</v>
      </c>
      <c r="G9" s="34">
        <f>'Raw Data'!G41</f>
        <v>3774</v>
      </c>
      <c r="H9" s="34">
        <f>'Raw Data'!H41</f>
        <v>3957</v>
      </c>
      <c r="I9" s="34">
        <f>'Raw Data'!I41</f>
        <v>3851</v>
      </c>
      <c r="J9" s="34">
        <f>'Raw Data'!J41</f>
        <v>4189</v>
      </c>
      <c r="K9" s="34">
        <f>'Raw Data'!K41</f>
        <v>4345</v>
      </c>
      <c r="L9" s="34">
        <f>'Raw Data'!L41</f>
        <v>4679</v>
      </c>
    </row>
    <row r="10" spans="2:12" ht="15" customHeight="1" x14ac:dyDescent="0.3">
      <c r="B10" s="35" t="s">
        <v>83</v>
      </c>
      <c r="C10" s="35"/>
      <c r="D10" s="35"/>
      <c r="E10" s="35"/>
      <c r="F10" s="35"/>
      <c r="G10" s="36">
        <f t="shared" ref="G10:L10" si="0">SUM(G6:G9)</f>
        <v>7709</v>
      </c>
      <c r="H10" s="36">
        <f t="shared" si="0"/>
        <v>9372</v>
      </c>
      <c r="I10" s="36">
        <f t="shared" si="0"/>
        <v>10353</v>
      </c>
      <c r="J10" s="36">
        <f t="shared" si="0"/>
        <v>11707</v>
      </c>
      <c r="K10" s="36">
        <f t="shared" si="0"/>
        <v>11536</v>
      </c>
      <c r="L10" s="36">
        <f t="shared" si="0"/>
        <v>13155</v>
      </c>
    </row>
    <row r="11" spans="2:12" ht="14.25" customHeight="1" x14ac:dyDescent="0.3">
      <c r="G11" s="37"/>
      <c r="H11" s="37"/>
      <c r="I11" s="37"/>
      <c r="J11" s="37"/>
      <c r="K11" s="37"/>
      <c r="L11" s="37"/>
    </row>
    <row r="12" spans="2:12" ht="14.25" customHeight="1" x14ac:dyDescent="0.3">
      <c r="B12" s="24" t="s">
        <v>84</v>
      </c>
      <c r="G12" s="37"/>
      <c r="H12" s="37"/>
      <c r="I12" s="37"/>
      <c r="J12" s="37"/>
      <c r="K12" s="37"/>
      <c r="L12" s="37"/>
    </row>
    <row r="13" spans="2:12" ht="14.25" customHeight="1" x14ac:dyDescent="0.3">
      <c r="B13" s="33" t="str">
        <f>'Raw Data'!B11</f>
        <v>Trade Payables</v>
      </c>
      <c r="C13" s="33"/>
      <c r="D13" s="33"/>
      <c r="E13" s="33"/>
      <c r="F13" s="33"/>
      <c r="G13" s="34">
        <f>'Raw Data'!G49</f>
        <v>-241</v>
      </c>
      <c r="H13" s="34">
        <f>'Raw Data'!H49</f>
        <v>1143</v>
      </c>
      <c r="I13" s="34">
        <f>'Raw Data'!I49</f>
        <v>644</v>
      </c>
      <c r="J13" s="34">
        <f>'Raw Data'!J49</f>
        <v>-539</v>
      </c>
      <c r="K13" s="34">
        <f>'Raw Data'!K49</f>
        <v>269</v>
      </c>
      <c r="L13" s="34">
        <f>'Raw Data'!L49</f>
        <v>269</v>
      </c>
    </row>
    <row r="14" spans="2:12" ht="14.25" customHeight="1" x14ac:dyDescent="0.3">
      <c r="B14" s="33" t="str">
        <f>'Raw Data'!B12</f>
        <v>Advance from Customers</v>
      </c>
      <c r="C14" s="33"/>
      <c r="D14" s="33"/>
      <c r="E14" s="33"/>
      <c r="F14" s="33"/>
      <c r="G14" s="34">
        <f>'Raw Data'!G12</f>
        <v>158</v>
      </c>
      <c r="H14" s="34">
        <f>'Raw Data'!H12</f>
        <v>96</v>
      </c>
      <c r="I14" s="34">
        <f>'Raw Data'!I12</f>
        <v>119</v>
      </c>
      <c r="J14" s="34">
        <f>'Raw Data'!J12</f>
        <v>98</v>
      </c>
      <c r="K14" s="34">
        <f>'Raw Data'!K12</f>
        <v>91</v>
      </c>
      <c r="L14" s="34">
        <f>'Raw Data'!L12</f>
        <v>105</v>
      </c>
    </row>
    <row r="15" spans="2:12" ht="15" customHeight="1" x14ac:dyDescent="0.3">
      <c r="B15" s="33" t="str">
        <f>'Raw Data'!B13</f>
        <v>Other liability items</v>
      </c>
      <c r="C15" s="33"/>
      <c r="D15" s="33"/>
      <c r="E15" s="33"/>
      <c r="F15" s="33"/>
      <c r="G15" s="38">
        <f>'Raw Data'!G13</f>
        <v>4214</v>
      </c>
      <c r="H15" s="38">
        <f>'Raw Data'!H13</f>
        <v>12148</v>
      </c>
      <c r="I15" s="38">
        <f>'Raw Data'!I13</f>
        <v>11189</v>
      </c>
      <c r="J15" s="38">
        <f>'Raw Data'!J13</f>
        <v>11664</v>
      </c>
      <c r="K15" s="38">
        <f>'Raw Data'!K13</f>
        <v>15005</v>
      </c>
      <c r="L15" s="38">
        <f>'Raw Data'!L13</f>
        <v>17186</v>
      </c>
    </row>
    <row r="16" spans="2:12" ht="15" customHeight="1" x14ac:dyDescent="0.3">
      <c r="B16" s="35" t="s">
        <v>85</v>
      </c>
      <c r="C16" s="35"/>
      <c r="D16" s="35"/>
      <c r="E16" s="35"/>
      <c r="F16" s="35"/>
      <c r="G16" s="36">
        <f t="shared" ref="G16:L16" si="1">SUM(G13:G15)</f>
        <v>4131</v>
      </c>
      <c r="H16" s="36">
        <f t="shared" si="1"/>
        <v>13387</v>
      </c>
      <c r="I16" s="36">
        <f t="shared" si="1"/>
        <v>11952</v>
      </c>
      <c r="J16" s="36">
        <f t="shared" si="1"/>
        <v>11223</v>
      </c>
      <c r="K16" s="36">
        <f t="shared" si="1"/>
        <v>15365</v>
      </c>
      <c r="L16" s="36">
        <f t="shared" si="1"/>
        <v>17560</v>
      </c>
    </row>
    <row r="17" spans="1:12" ht="14.25" customHeight="1" x14ac:dyDescent="0.3">
      <c r="G17" s="37"/>
      <c r="H17" s="37"/>
      <c r="I17" s="37"/>
      <c r="J17" s="37"/>
      <c r="K17" s="37"/>
      <c r="L17" s="37"/>
    </row>
    <row r="18" spans="1:12" ht="15" customHeight="1" x14ac:dyDescent="0.3">
      <c r="A18" s="8" t="s">
        <v>3</v>
      </c>
      <c r="B18" s="39" t="s">
        <v>86</v>
      </c>
      <c r="C18" s="39"/>
      <c r="D18" s="39"/>
      <c r="E18" s="39"/>
      <c r="F18" s="39"/>
      <c r="G18" s="40">
        <f t="shared" ref="G18:L18" si="2">G10-G16</f>
        <v>3578</v>
      </c>
      <c r="H18" s="40">
        <f t="shared" si="2"/>
        <v>-4015</v>
      </c>
      <c r="I18" s="40">
        <f t="shared" si="2"/>
        <v>-1599</v>
      </c>
      <c r="J18" s="40">
        <f t="shared" si="2"/>
        <v>484</v>
      </c>
      <c r="K18" s="40">
        <f t="shared" si="2"/>
        <v>-3829</v>
      </c>
      <c r="L18" s="40">
        <f t="shared" si="2"/>
        <v>-4405</v>
      </c>
    </row>
    <row r="19" spans="1:12" ht="15" customHeight="1" x14ac:dyDescent="0.3">
      <c r="G19" s="37"/>
      <c r="H19" s="37"/>
      <c r="I19" s="37"/>
      <c r="J19" s="37"/>
      <c r="K19" s="37"/>
      <c r="L19" s="37"/>
    </row>
    <row r="20" spans="1:12" ht="14.25" customHeight="1" x14ac:dyDescent="0.3">
      <c r="B20" s="24" t="s">
        <v>87</v>
      </c>
      <c r="G20" s="37"/>
      <c r="H20" s="37"/>
      <c r="I20" s="37"/>
      <c r="J20" s="37"/>
      <c r="K20" s="37"/>
      <c r="L20" s="37"/>
    </row>
    <row r="21" spans="1:12" ht="14.25" customHeight="1" x14ac:dyDescent="0.3">
      <c r="B21" s="33" t="str">
        <f>'Raw Data'!B17</f>
        <v>Land</v>
      </c>
      <c r="C21" s="33"/>
      <c r="D21" s="33"/>
      <c r="E21" s="33"/>
      <c r="F21" s="33"/>
      <c r="G21" s="41">
        <f>'Raw Data'!G17</f>
        <v>59</v>
      </c>
      <c r="H21" s="41">
        <f>'Raw Data'!H17</f>
        <v>477</v>
      </c>
      <c r="I21" s="41">
        <f>'Raw Data'!I17</f>
        <v>477</v>
      </c>
      <c r="J21" s="41">
        <f>'Raw Data'!J17</f>
        <v>609</v>
      </c>
      <c r="K21" s="41">
        <f>'Raw Data'!K17</f>
        <v>633</v>
      </c>
      <c r="L21" s="41">
        <f>'Raw Data'!L17</f>
        <v>628</v>
      </c>
    </row>
    <row r="22" spans="1:12" ht="14.25" customHeight="1" x14ac:dyDescent="0.3">
      <c r="B22" s="33" t="str">
        <f>'Raw Data'!B18</f>
        <v>Building</v>
      </c>
      <c r="C22" s="33"/>
      <c r="D22" s="33"/>
      <c r="E22" s="33"/>
      <c r="F22" s="33"/>
      <c r="G22" s="41">
        <f>'Raw Data'!G18</f>
        <v>2044</v>
      </c>
      <c r="H22" s="41">
        <f>'Raw Data'!H18</f>
        <v>2602</v>
      </c>
      <c r="I22" s="41">
        <f>'Raw Data'!I18</f>
        <v>2788</v>
      </c>
      <c r="J22" s="41">
        <f>'Raw Data'!J18</f>
        <v>3101</v>
      </c>
      <c r="K22" s="41">
        <f>'Raw Data'!K18</f>
        <v>3590</v>
      </c>
      <c r="L22" s="41">
        <f>'Raw Data'!L18</f>
        <v>3833</v>
      </c>
    </row>
    <row r="23" spans="1:12" ht="14.25" customHeight="1" x14ac:dyDescent="0.3">
      <c r="B23" s="33" t="str">
        <f>'Raw Data'!B19</f>
        <v>Plant Machinery</v>
      </c>
      <c r="C23" s="33"/>
      <c r="D23" s="33"/>
      <c r="E23" s="33"/>
      <c r="F23" s="33"/>
      <c r="G23" s="41">
        <f>'Raw Data'!G19</f>
        <v>5001</v>
      </c>
      <c r="H23" s="41">
        <f>'Raw Data'!H19</f>
        <v>6097</v>
      </c>
      <c r="I23" s="41">
        <f>'Raw Data'!I19</f>
        <v>6566</v>
      </c>
      <c r="J23" s="41">
        <f>'Raw Data'!J19</f>
        <v>7612</v>
      </c>
      <c r="K23" s="41">
        <f>'Raw Data'!K19</f>
        <v>8946</v>
      </c>
      <c r="L23" s="41">
        <f>'Raw Data'!L19</f>
        <v>9900</v>
      </c>
    </row>
    <row r="24" spans="1:12" ht="14.25" customHeight="1" x14ac:dyDescent="0.3">
      <c r="B24" s="33" t="str">
        <f>'Raw Data'!B20</f>
        <v>Equipments</v>
      </c>
      <c r="C24" s="33"/>
      <c r="D24" s="33"/>
      <c r="E24" s="33"/>
      <c r="F24" s="33"/>
      <c r="G24" s="41">
        <f>'Raw Data'!G20</f>
        <v>139</v>
      </c>
      <c r="H24" s="41">
        <f>'Raw Data'!H20</f>
        <v>175</v>
      </c>
      <c r="I24" s="41">
        <f>'Raw Data'!I20</f>
        <v>181</v>
      </c>
      <c r="J24" s="41">
        <f>'Raw Data'!J20</f>
        <v>185</v>
      </c>
      <c r="K24" s="41">
        <f>'Raw Data'!K20</f>
        <v>206</v>
      </c>
      <c r="L24" s="41">
        <f>'Raw Data'!L20</f>
        <v>245</v>
      </c>
    </row>
    <row r="25" spans="1:12" ht="14.25" customHeight="1" x14ac:dyDescent="0.3">
      <c r="B25" s="33" t="str">
        <f>'Raw Data'!B21</f>
        <v>Furniture n fittings</v>
      </c>
      <c r="C25" s="33"/>
      <c r="D25" s="33"/>
      <c r="E25" s="33"/>
      <c r="F25" s="33"/>
      <c r="G25" s="41">
        <f>'Raw Data'!G21</f>
        <v>154</v>
      </c>
      <c r="H25" s="41">
        <f>'Raw Data'!H21</f>
        <v>156</v>
      </c>
      <c r="I25" s="41">
        <f>'Raw Data'!I21</f>
        <v>152</v>
      </c>
      <c r="J25" s="41">
        <f>'Raw Data'!J21</f>
        <v>161</v>
      </c>
      <c r="K25" s="41">
        <f>'Raw Data'!K21</f>
        <v>165</v>
      </c>
      <c r="L25" s="41">
        <f>'Raw Data'!L21</f>
        <v>174</v>
      </c>
    </row>
    <row r="26" spans="1:12" ht="14.25" customHeight="1" x14ac:dyDescent="0.3">
      <c r="B26" s="33" t="str">
        <f>'Raw Data'!B23</f>
        <v>Vehicles</v>
      </c>
      <c r="C26" s="33"/>
      <c r="D26" s="33"/>
      <c r="E26" s="33"/>
      <c r="F26" s="33"/>
      <c r="G26" s="41">
        <f>'Raw Data'!G22</f>
        <v>0</v>
      </c>
      <c r="H26" s="41">
        <f>'Raw Data'!H22</f>
        <v>0</v>
      </c>
      <c r="I26" s="41">
        <f>'Raw Data'!I22</f>
        <v>0</v>
      </c>
      <c r="J26" s="41">
        <f>'Raw Data'!J22</f>
        <v>0</v>
      </c>
      <c r="K26" s="41">
        <f>'Raw Data'!K22</f>
        <v>0</v>
      </c>
      <c r="L26" s="41">
        <f>'Raw Data'!L22</f>
        <v>0</v>
      </c>
    </row>
    <row r="27" spans="1:12" ht="14.25" customHeight="1" x14ac:dyDescent="0.3">
      <c r="B27" s="33" t="str">
        <f>'Raw Data'!B24</f>
        <v>Intangible Assets</v>
      </c>
      <c r="C27" s="33"/>
      <c r="D27" s="33"/>
      <c r="E27" s="33"/>
      <c r="F27" s="33"/>
      <c r="G27" s="41">
        <f>'Raw Data'!G23</f>
        <v>0</v>
      </c>
      <c r="H27" s="41">
        <f>'Raw Data'!H23</f>
        <v>0</v>
      </c>
      <c r="I27" s="41">
        <f>'Raw Data'!I23</f>
        <v>0</v>
      </c>
      <c r="J27" s="41">
        <f>'Raw Data'!J23</f>
        <v>0</v>
      </c>
      <c r="K27" s="41">
        <f>'Raw Data'!K23</f>
        <v>0</v>
      </c>
      <c r="L27" s="41">
        <f>'Raw Data'!L23</f>
        <v>0</v>
      </c>
    </row>
    <row r="28" spans="1:12" ht="14.25" customHeight="1" x14ac:dyDescent="0.3">
      <c r="B28" s="33" t="str">
        <f>'Raw Data'!B25</f>
        <v>Other fixed assets</v>
      </c>
      <c r="C28" s="33"/>
      <c r="D28" s="33"/>
      <c r="E28" s="33"/>
      <c r="F28" s="33"/>
      <c r="G28" s="41">
        <f>'Raw Data'!G24</f>
        <v>0</v>
      </c>
      <c r="H28" s="41">
        <f>'Raw Data'!H24</f>
        <v>0</v>
      </c>
      <c r="I28" s="41">
        <f>'Raw Data'!I24</f>
        <v>0</v>
      </c>
      <c r="J28" s="41">
        <f>'Raw Data'!J24</f>
        <v>33</v>
      </c>
      <c r="K28" s="41">
        <f>'Raw Data'!K24</f>
        <v>39</v>
      </c>
      <c r="L28" s="41">
        <f>'Raw Data'!L24</f>
        <v>102</v>
      </c>
    </row>
    <row r="29" spans="1:12" ht="6" customHeight="1" x14ac:dyDescent="0.3">
      <c r="B29" s="33"/>
      <c r="C29" s="33"/>
      <c r="D29" s="33"/>
      <c r="E29" s="33"/>
      <c r="F29" s="33"/>
      <c r="G29" s="41"/>
      <c r="H29" s="41"/>
      <c r="I29" s="41"/>
      <c r="J29" s="41"/>
      <c r="K29" s="41"/>
      <c r="L29" s="41"/>
    </row>
    <row r="30" spans="1:12" ht="15" customHeight="1" x14ac:dyDescent="0.3">
      <c r="B30" s="35" t="s">
        <v>88</v>
      </c>
      <c r="C30" s="35"/>
      <c r="D30" s="35"/>
      <c r="E30" s="35"/>
      <c r="F30" s="35"/>
      <c r="G30" s="42">
        <f t="shared" ref="G30:L30" si="3">SUM(G21:G29)</f>
        <v>7397</v>
      </c>
      <c r="H30" s="42">
        <f t="shared" si="3"/>
        <v>9507</v>
      </c>
      <c r="I30" s="42">
        <f t="shared" si="3"/>
        <v>10164</v>
      </c>
      <c r="J30" s="42">
        <f t="shared" si="3"/>
        <v>11701</v>
      </c>
      <c r="K30" s="42">
        <f t="shared" si="3"/>
        <v>13579</v>
      </c>
      <c r="L30" s="42">
        <f t="shared" si="3"/>
        <v>14882</v>
      </c>
    </row>
    <row r="31" spans="1:12" ht="14.25" customHeight="1" x14ac:dyDescent="0.3">
      <c r="B31" s="8" t="str">
        <f>'Raw Data'!B27</f>
        <v>Accumulated Depreciation</v>
      </c>
      <c r="G31" s="43">
        <f>-'Raw Data'!G27</f>
        <v>-2500</v>
      </c>
      <c r="H31" s="43">
        <f>-'Raw Data'!H27</f>
        <v>-3481</v>
      </c>
      <c r="I31" s="43">
        <f>-'Raw Data'!I27</f>
        <v>-4105</v>
      </c>
      <c r="J31" s="43">
        <f>-'Raw Data'!J27</f>
        <v>-4886</v>
      </c>
      <c r="K31" s="43">
        <f>-'Raw Data'!K27</f>
        <v>-5707</v>
      </c>
      <c r="L31" s="43">
        <f>-'Raw Data'!L27</f>
        <v>-6429</v>
      </c>
    </row>
    <row r="32" spans="1:12" ht="15" customHeight="1" x14ac:dyDescent="0.3">
      <c r="A32" s="8" t="s">
        <v>3</v>
      </c>
      <c r="B32" s="39" t="s">
        <v>89</v>
      </c>
      <c r="C32" s="39"/>
      <c r="D32" s="39"/>
      <c r="E32" s="39"/>
      <c r="F32" s="39"/>
      <c r="G32" s="44">
        <f t="shared" ref="G32:L32" si="4">SUM(G30:G31)</f>
        <v>4897</v>
      </c>
      <c r="H32" s="44">
        <f t="shared" si="4"/>
        <v>6026</v>
      </c>
      <c r="I32" s="44">
        <f t="shared" si="4"/>
        <v>6059</v>
      </c>
      <c r="J32" s="44">
        <f t="shared" si="4"/>
        <v>6815</v>
      </c>
      <c r="K32" s="44">
        <f t="shared" si="4"/>
        <v>7872</v>
      </c>
      <c r="L32" s="44">
        <f t="shared" si="4"/>
        <v>8453</v>
      </c>
    </row>
    <row r="33" spans="1:12" ht="15" customHeight="1" x14ac:dyDescent="0.3">
      <c r="G33" s="43"/>
      <c r="H33" s="43"/>
      <c r="I33" s="43"/>
      <c r="J33" s="43"/>
      <c r="K33" s="43"/>
      <c r="L33" s="43"/>
    </row>
    <row r="34" spans="1:12" ht="14.25" customHeight="1" x14ac:dyDescent="0.3">
      <c r="A34" s="8" t="s">
        <v>3</v>
      </c>
      <c r="B34" s="24" t="s">
        <v>90</v>
      </c>
      <c r="G34" s="45">
        <f t="shared" ref="G34:L34" si="5">G18+G32</f>
        <v>8475</v>
      </c>
      <c r="H34" s="45">
        <f t="shared" si="5"/>
        <v>2011</v>
      </c>
      <c r="I34" s="45">
        <f t="shared" si="5"/>
        <v>4460</v>
      </c>
      <c r="J34" s="45">
        <f t="shared" si="5"/>
        <v>7299</v>
      </c>
      <c r="K34" s="45">
        <f t="shared" si="5"/>
        <v>4043</v>
      </c>
      <c r="L34" s="45">
        <f t="shared" si="5"/>
        <v>4048</v>
      </c>
    </row>
    <row r="35" spans="1:12" ht="14.25" customHeight="1" x14ac:dyDescent="0.3">
      <c r="B35" s="8" t="s">
        <v>91</v>
      </c>
      <c r="G35" s="43">
        <f>IFERROR(HistoricalFS!D27+HistoricalFS!D21,0)</f>
        <v>6040</v>
      </c>
      <c r="H35" s="43">
        <f>IFERROR(HistoricalFS!E27+HistoricalFS!E21,0)</f>
        <v>6907</v>
      </c>
      <c r="I35" s="43">
        <f>IFERROR(HistoricalFS!F27+HistoricalFS!F21,0)</f>
        <v>8327</v>
      </c>
      <c r="J35" s="43">
        <f>IFERROR(HistoricalFS!G27+HistoricalFS!G21,0)</f>
        <v>8751</v>
      </c>
      <c r="K35" s="43">
        <f>IFERROR(HistoricalFS!H27+HistoricalFS!H21,0)</f>
        <v>10147</v>
      </c>
      <c r="L35" s="43">
        <f>IFERROR(HistoricalFS!I27+HistoricalFS!I21,0)</f>
        <v>11744</v>
      </c>
    </row>
    <row r="37" spans="1:12" ht="14.25" customHeight="1" x14ac:dyDescent="0.3">
      <c r="A37" s="8" t="s">
        <v>3</v>
      </c>
      <c r="B37" s="24" t="s">
        <v>92</v>
      </c>
      <c r="G37" s="46">
        <f t="shared" ref="G37:L37" si="6">G35/G34</f>
        <v>0.7126843657817109</v>
      </c>
      <c r="H37" s="46">
        <f t="shared" si="6"/>
        <v>3.4346096469418201</v>
      </c>
      <c r="I37" s="46">
        <f t="shared" si="6"/>
        <v>1.8670403587443947</v>
      </c>
      <c r="J37" s="46">
        <f t="shared" si="6"/>
        <v>1.1989313604603371</v>
      </c>
      <c r="K37" s="46">
        <f t="shared" si="6"/>
        <v>2.5097699727924807</v>
      </c>
      <c r="L37" s="46">
        <f t="shared" si="6"/>
        <v>2.9011857707509883</v>
      </c>
    </row>
    <row r="39" spans="1:12" ht="14.25" customHeight="1" x14ac:dyDescent="0.3">
      <c r="A39" s="8" t="s">
        <v>3</v>
      </c>
      <c r="B39" s="31" t="s">
        <v>81</v>
      </c>
      <c r="C39" s="31"/>
      <c r="D39" s="31"/>
      <c r="E39" s="31"/>
      <c r="F39" s="31"/>
      <c r="G39" s="32">
        <f t="shared" ref="G39:L39" si="7">G3</f>
        <v>43921</v>
      </c>
      <c r="H39" s="32">
        <f t="shared" si="7"/>
        <v>44286</v>
      </c>
      <c r="I39" s="32">
        <f t="shared" si="7"/>
        <v>44651</v>
      </c>
      <c r="J39" s="32">
        <f t="shared" si="7"/>
        <v>45016</v>
      </c>
      <c r="K39" s="32">
        <f t="shared" si="7"/>
        <v>45382</v>
      </c>
      <c r="L39" s="32">
        <f t="shared" si="7"/>
        <v>45747</v>
      </c>
    </row>
    <row r="41" spans="1:12" ht="14.25" customHeight="1" x14ac:dyDescent="0.3">
      <c r="B41" s="8" t="s">
        <v>93</v>
      </c>
      <c r="G41" s="47">
        <f>-SUM('Raw Data'!G55:G56)</f>
        <v>810</v>
      </c>
      <c r="H41" s="47">
        <f>-SUM('Raw Data'!H55:H56)</f>
        <v>4066</v>
      </c>
      <c r="I41" s="47">
        <f>-SUM('Raw Data'!I55:I56)</f>
        <v>1053</v>
      </c>
      <c r="J41" s="47">
        <f>-SUM('Raw Data'!J55:J56)</f>
        <v>1011</v>
      </c>
      <c r="K41" s="47">
        <f>-SUM('Raw Data'!K55:K56)</f>
        <v>1457</v>
      </c>
      <c r="L41" s="47">
        <f>-SUM('Raw Data'!L55:L56)</f>
        <v>1262</v>
      </c>
    </row>
    <row r="42" spans="1:12" ht="14.25" customHeight="1" x14ac:dyDescent="0.3">
      <c r="B42" s="8" t="s">
        <v>94</v>
      </c>
      <c r="G42" s="47"/>
      <c r="H42" s="47">
        <f>H18-G18</f>
        <v>-7593</v>
      </c>
      <c r="I42" s="47">
        <f>I18-H18</f>
        <v>2416</v>
      </c>
      <c r="J42" s="47">
        <f>J18-I18</f>
        <v>2083</v>
      </c>
      <c r="K42" s="47">
        <f>K18-J18</f>
        <v>-4313</v>
      </c>
      <c r="L42" s="47">
        <f>L18-K18</f>
        <v>-576</v>
      </c>
    </row>
    <row r="43" spans="1:12" ht="14.25" customHeight="1" x14ac:dyDescent="0.3">
      <c r="G43" s="47"/>
      <c r="H43" s="47"/>
      <c r="I43" s="47"/>
      <c r="J43" s="47"/>
      <c r="K43" s="47"/>
      <c r="L43" s="47"/>
    </row>
    <row r="44" spans="1:12" ht="14.25" customHeight="1" x14ac:dyDescent="0.3">
      <c r="B44" s="8" t="s">
        <v>91</v>
      </c>
      <c r="G44" s="47">
        <f t="shared" ref="G44:L44" si="8">G35</f>
        <v>6040</v>
      </c>
      <c r="H44" s="47">
        <f t="shared" si="8"/>
        <v>6907</v>
      </c>
      <c r="I44" s="47">
        <f t="shared" si="8"/>
        <v>8327</v>
      </c>
      <c r="J44" s="47">
        <f t="shared" si="8"/>
        <v>8751</v>
      </c>
      <c r="K44" s="47">
        <f t="shared" si="8"/>
        <v>10147</v>
      </c>
      <c r="L44" s="47">
        <f t="shared" si="8"/>
        <v>11744</v>
      </c>
    </row>
    <row r="45" spans="1:12" ht="14.25" customHeight="1" x14ac:dyDescent="0.3">
      <c r="B45" s="8" t="s">
        <v>95</v>
      </c>
      <c r="G45" s="48">
        <v>0.25</v>
      </c>
      <c r="H45" s="48">
        <v>0.25</v>
      </c>
      <c r="I45" s="48">
        <v>0.25</v>
      </c>
      <c r="J45" s="48">
        <v>0.25</v>
      </c>
      <c r="K45" s="48">
        <v>0.25</v>
      </c>
      <c r="L45" s="48">
        <v>0.25</v>
      </c>
    </row>
    <row r="46" spans="1:12" ht="14.25" customHeight="1" x14ac:dyDescent="0.3">
      <c r="B46" s="8" t="s">
        <v>96</v>
      </c>
      <c r="G46" s="37">
        <f t="shared" ref="G46:L46" si="9">G44*(1-G45)</f>
        <v>4530</v>
      </c>
      <c r="H46" s="37">
        <f t="shared" si="9"/>
        <v>5180.25</v>
      </c>
      <c r="I46" s="37">
        <f t="shared" si="9"/>
        <v>6245.25</v>
      </c>
      <c r="J46" s="37">
        <f t="shared" si="9"/>
        <v>6563.25</v>
      </c>
      <c r="K46" s="37">
        <f t="shared" si="9"/>
        <v>7610.25</v>
      </c>
      <c r="L46" s="37">
        <f t="shared" si="9"/>
        <v>8808</v>
      </c>
    </row>
    <row r="48" spans="1:12" ht="14.25" customHeight="1" x14ac:dyDescent="0.3">
      <c r="B48" s="8" t="s">
        <v>97</v>
      </c>
      <c r="G48" s="47">
        <f t="shared" ref="G48:L48" si="10">SUM(G41:G42)</f>
        <v>810</v>
      </c>
      <c r="H48" s="47">
        <f t="shared" si="10"/>
        <v>-3527</v>
      </c>
      <c r="I48" s="47">
        <f t="shared" si="10"/>
        <v>3469</v>
      </c>
      <c r="J48" s="47">
        <f t="shared" si="10"/>
        <v>3094</v>
      </c>
      <c r="K48" s="47">
        <f t="shared" si="10"/>
        <v>-2856</v>
      </c>
      <c r="L48" s="47">
        <f t="shared" si="10"/>
        <v>686</v>
      </c>
    </row>
    <row r="50" spans="1:12" ht="14.25" customHeight="1" x14ac:dyDescent="0.3">
      <c r="B50" s="24" t="s">
        <v>98</v>
      </c>
      <c r="C50" s="24"/>
      <c r="D50" s="24"/>
      <c r="E50" s="24"/>
      <c r="F50" s="24"/>
      <c r="G50" s="49">
        <f t="shared" ref="G50:L50" si="11">G48/G46</f>
        <v>0.17880794701986755</v>
      </c>
      <c r="H50" s="49">
        <f t="shared" si="11"/>
        <v>-0.68085517108247673</v>
      </c>
      <c r="I50" s="49">
        <f t="shared" si="11"/>
        <v>0.55546215123493858</v>
      </c>
      <c r="J50" s="49">
        <f t="shared" si="11"/>
        <v>0.47141279091913307</v>
      </c>
      <c r="K50" s="49">
        <f t="shared" si="11"/>
        <v>-0.37528333497585492</v>
      </c>
      <c r="L50" s="49">
        <f t="shared" si="11"/>
        <v>7.7883742052679381E-2</v>
      </c>
    </row>
    <row r="51" spans="1:12" ht="14.25" customHeight="1" x14ac:dyDescent="0.3">
      <c r="G51" s="50"/>
      <c r="H51" s="50"/>
      <c r="I51" s="50"/>
      <c r="J51" s="50"/>
      <c r="K51" s="50"/>
      <c r="L51" s="50"/>
    </row>
    <row r="52" spans="1:12" ht="14.25" customHeight="1" x14ac:dyDescent="0.3">
      <c r="I52" s="24" t="s">
        <v>99</v>
      </c>
      <c r="J52" s="24"/>
      <c r="K52" s="51">
        <f>AVERAGE(H50:K50)</f>
        <v>-7.3158909760649982E-3</v>
      </c>
      <c r="L52" s="51">
        <f>AVERAGE(I50:L50)</f>
        <v>0.18236883730772405</v>
      </c>
    </row>
    <row r="53" spans="1:12" ht="14.25" customHeight="1" x14ac:dyDescent="0.3">
      <c r="I53" s="24" t="s">
        <v>100</v>
      </c>
      <c r="J53" s="24"/>
      <c r="K53" s="51">
        <f>MEDIAN(H50:K50)</f>
        <v>4.8064727971639076E-2</v>
      </c>
      <c r="L53" s="51">
        <f>MEDIAN(I50:L50)</f>
        <v>0.27464826648590623</v>
      </c>
    </row>
    <row r="55" spans="1:12" ht="14.25" customHeight="1" x14ac:dyDescent="0.3">
      <c r="A55" s="8" t="s">
        <v>3</v>
      </c>
      <c r="B55" s="31" t="s">
        <v>101</v>
      </c>
      <c r="C55" s="31"/>
      <c r="D55" s="31"/>
      <c r="E55" s="31"/>
      <c r="F55" s="31"/>
      <c r="G55" s="32">
        <f>'Raw Data'!$G$2</f>
        <v>43891</v>
      </c>
      <c r="H55" s="32">
        <f>'Raw Data'!$H$2</f>
        <v>44256</v>
      </c>
      <c r="I55" s="32">
        <f>'Raw Data'!$I$2</f>
        <v>44621</v>
      </c>
      <c r="J55" s="32">
        <f>'Raw Data'!$J$2</f>
        <v>44986</v>
      </c>
      <c r="K55" s="32">
        <f>'Raw Data'!$K$2</f>
        <v>45352</v>
      </c>
      <c r="L55" s="32">
        <f>'Raw Data'!$K$2</f>
        <v>45352</v>
      </c>
    </row>
    <row r="57" spans="1:12" ht="14.25" customHeight="1" x14ac:dyDescent="0.3">
      <c r="B57" s="24" t="s">
        <v>98</v>
      </c>
      <c r="G57" s="50">
        <f t="shared" ref="G57:L57" si="12">G50</f>
        <v>0.17880794701986755</v>
      </c>
      <c r="H57" s="50">
        <f t="shared" si="12"/>
        <v>-0.68085517108247673</v>
      </c>
      <c r="I57" s="50">
        <f t="shared" si="12"/>
        <v>0.55546215123493858</v>
      </c>
      <c r="J57" s="50">
        <f t="shared" si="12"/>
        <v>0.47141279091913307</v>
      </c>
      <c r="K57" s="50">
        <f t="shared" si="12"/>
        <v>-0.37528333497585492</v>
      </c>
      <c r="L57" s="50">
        <f t="shared" si="12"/>
        <v>7.7883742052679381E-2</v>
      </c>
    </row>
    <row r="58" spans="1:12" ht="14.25" customHeight="1" x14ac:dyDescent="0.3">
      <c r="B58" s="24" t="s">
        <v>92</v>
      </c>
      <c r="G58" s="50">
        <f t="shared" ref="G58:L58" si="13">F37</f>
        <v>0</v>
      </c>
      <c r="H58" s="50">
        <f t="shared" si="13"/>
        <v>0.7126843657817109</v>
      </c>
      <c r="I58" s="50">
        <f t="shared" si="13"/>
        <v>3.4346096469418201</v>
      </c>
      <c r="J58" s="50">
        <f t="shared" si="13"/>
        <v>1.8670403587443947</v>
      </c>
      <c r="K58" s="50">
        <f t="shared" si="13"/>
        <v>1.1989313604603371</v>
      </c>
      <c r="L58" s="50">
        <f t="shared" si="13"/>
        <v>2.5097699727924807</v>
      </c>
    </row>
    <row r="60" spans="1:12" ht="14.25" customHeight="1" x14ac:dyDescent="0.3">
      <c r="B60" s="24" t="s">
        <v>102</v>
      </c>
      <c r="C60" s="24"/>
      <c r="D60" s="24"/>
      <c r="E60" s="24"/>
      <c r="F60" s="24"/>
      <c r="G60" s="49">
        <f t="shared" ref="G60:L60" si="14">G57*G58</f>
        <v>0</v>
      </c>
      <c r="H60" s="49">
        <f t="shared" si="14"/>
        <v>-0.48523483579211318</v>
      </c>
      <c r="I60" s="49">
        <f t="shared" si="14"/>
        <v>1.9077956631425763</v>
      </c>
      <c r="J60" s="49">
        <f t="shared" si="14"/>
        <v>0.88014670627435454</v>
      </c>
      <c r="K60" s="49">
        <f t="shared" si="14"/>
        <v>-0.44993895936069417</v>
      </c>
      <c r="L60" s="49">
        <f t="shared" si="14"/>
        <v>0.19547027717252971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showGridLines="0" zoomScaleNormal="100" workbookViewId="0">
      <pane ySplit="2" topLeftCell="A62" activePane="bottomLeft" state="frozen"/>
      <selection pane="bottomLeft" activeCell="N78" sqref="N78"/>
    </sheetView>
  </sheetViews>
  <sheetFormatPr defaultColWidth="8.6640625" defaultRowHeight="14.4" x14ac:dyDescent="0.3"/>
  <cols>
    <col min="1" max="1" width="1.88671875" style="8" customWidth="1"/>
    <col min="2" max="2" width="24.88671875" style="8" customWidth="1"/>
  </cols>
  <sheetData>
    <row r="1" spans="2:13" ht="14.25" customHeight="1" x14ac:dyDescent="0.3">
      <c r="B1" s="6" t="s">
        <v>103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ht="14.25" customHeight="1" x14ac:dyDescent="0.3">
      <c r="B2" s="52" t="s">
        <v>104</v>
      </c>
      <c r="C2" s="53">
        <f>HistoricalFS!C3</f>
        <v>42430</v>
      </c>
      <c r="D2" s="53">
        <f>HistoricalFS!D3</f>
        <v>42795</v>
      </c>
      <c r="E2" s="53">
        <f>HistoricalFS!E3</f>
        <v>43160</v>
      </c>
      <c r="F2" s="53">
        <f>HistoricalFS!F3</f>
        <v>43525</v>
      </c>
      <c r="G2" s="53">
        <f>HistoricalFS!G3</f>
        <v>43891</v>
      </c>
      <c r="H2" s="53">
        <f>HistoricalFS!H3</f>
        <v>44256</v>
      </c>
      <c r="I2" s="53">
        <f>HistoricalFS!I3</f>
        <v>44621</v>
      </c>
      <c r="J2" s="53">
        <f>HistoricalFS!J3</f>
        <v>44986</v>
      </c>
      <c r="K2" s="53">
        <f>HistoricalFS!K3</f>
        <v>45352</v>
      </c>
      <c r="L2" s="53">
        <f>HistoricalFS!L3</f>
        <v>45717</v>
      </c>
    </row>
    <row r="3" spans="2:13" ht="14.25" customHeight="1" x14ac:dyDescent="0.3">
      <c r="B3" s="8" t="s">
        <v>105</v>
      </c>
      <c r="C3" s="54">
        <v>216</v>
      </c>
      <c r="D3" s="54">
        <v>216</v>
      </c>
      <c r="E3" s="54">
        <v>216</v>
      </c>
      <c r="F3" s="54">
        <v>216</v>
      </c>
      <c r="G3" s="54">
        <v>216</v>
      </c>
      <c r="H3" s="54">
        <v>235</v>
      </c>
      <c r="I3" s="54">
        <v>235</v>
      </c>
      <c r="J3" s="54">
        <v>235</v>
      </c>
      <c r="K3" s="54">
        <v>235</v>
      </c>
      <c r="L3" s="54">
        <v>235</v>
      </c>
    </row>
    <row r="4" spans="2:13" ht="14.25" customHeight="1" x14ac:dyDescent="0.3">
      <c r="B4" s="8" t="s">
        <v>33</v>
      </c>
      <c r="C4" s="55">
        <v>6357</v>
      </c>
      <c r="D4" s="55">
        <v>6528</v>
      </c>
      <c r="E4" s="55">
        <v>7065</v>
      </c>
      <c r="F4" s="55">
        <v>7651</v>
      </c>
      <c r="G4" s="55">
        <v>8013</v>
      </c>
      <c r="H4" s="55">
        <v>47439</v>
      </c>
      <c r="I4" s="55">
        <v>48826</v>
      </c>
      <c r="J4" s="55">
        <v>50069</v>
      </c>
      <c r="K4" s="55">
        <v>50983</v>
      </c>
      <c r="L4" s="55">
        <v>49167</v>
      </c>
    </row>
    <row r="5" spans="2:13" ht="14.25" customHeight="1" x14ac:dyDescent="0.3">
      <c r="B5" s="24" t="s">
        <v>106</v>
      </c>
      <c r="F5" s="56"/>
      <c r="G5" s="56"/>
      <c r="H5" s="56"/>
      <c r="I5" s="56"/>
      <c r="J5" s="56"/>
      <c r="K5" s="56"/>
      <c r="L5" s="56"/>
    </row>
    <row r="6" spans="2:13" ht="14.25" customHeight="1" x14ac:dyDescent="0.3">
      <c r="B6" s="8" t="s">
        <v>107</v>
      </c>
      <c r="C6" s="54">
        <v>0</v>
      </c>
      <c r="D6" s="54">
        <v>0</v>
      </c>
      <c r="E6" s="54">
        <v>0</v>
      </c>
      <c r="F6" s="54">
        <v>0</v>
      </c>
      <c r="G6" s="54">
        <v>0</v>
      </c>
      <c r="H6" s="54">
        <v>0</v>
      </c>
      <c r="I6" s="54">
        <v>0</v>
      </c>
      <c r="J6" s="54">
        <v>0</v>
      </c>
      <c r="K6" s="54">
        <v>0</v>
      </c>
      <c r="L6" s="54">
        <v>0</v>
      </c>
    </row>
    <row r="7" spans="2:13" ht="14.25" customHeight="1" x14ac:dyDescent="0.3">
      <c r="B7" s="8" t="s">
        <v>108</v>
      </c>
      <c r="C7" s="54">
        <v>177</v>
      </c>
      <c r="D7" s="54">
        <v>277</v>
      </c>
      <c r="E7" s="54">
        <v>0</v>
      </c>
      <c r="F7" s="54">
        <v>99</v>
      </c>
      <c r="G7" s="54">
        <v>0</v>
      </c>
      <c r="H7" s="54">
        <v>0</v>
      </c>
      <c r="I7" s="54">
        <v>0</v>
      </c>
      <c r="J7" s="54">
        <v>98</v>
      </c>
      <c r="K7" s="55">
        <v>13</v>
      </c>
      <c r="L7" s="55">
        <v>1</v>
      </c>
    </row>
    <row r="8" spans="2:13" ht="14.25" customHeight="1" x14ac:dyDescent="0.3">
      <c r="B8" s="8" t="s">
        <v>109</v>
      </c>
      <c r="C8" s="54">
        <v>0</v>
      </c>
      <c r="D8" s="54">
        <v>0</v>
      </c>
      <c r="E8" s="54">
        <v>0</v>
      </c>
      <c r="F8" s="54">
        <v>0</v>
      </c>
      <c r="G8" s="54">
        <v>0</v>
      </c>
      <c r="H8" s="54">
        <v>0</v>
      </c>
      <c r="I8" s="55">
        <v>1043</v>
      </c>
      <c r="J8" s="55">
        <v>1121</v>
      </c>
      <c r="K8" s="55">
        <v>1471</v>
      </c>
      <c r="L8" s="55">
        <v>1647</v>
      </c>
    </row>
    <row r="9" spans="2:13" ht="14.25" customHeight="1" x14ac:dyDescent="0.3">
      <c r="B9" s="24" t="s">
        <v>110</v>
      </c>
      <c r="C9" s="56"/>
      <c r="D9" s="56"/>
      <c r="E9" s="56"/>
      <c r="F9" s="56"/>
      <c r="G9" s="56"/>
      <c r="H9" s="56"/>
      <c r="I9" s="56"/>
      <c r="J9" s="56"/>
      <c r="K9" s="56"/>
      <c r="L9" s="56"/>
    </row>
    <row r="10" spans="2:13" ht="14.25" customHeight="1" x14ac:dyDescent="0.3">
      <c r="B10" s="8" t="s">
        <v>111</v>
      </c>
      <c r="C10" s="57">
        <v>20</v>
      </c>
      <c r="D10" s="57">
        <v>22</v>
      </c>
      <c r="E10" s="57">
        <v>20</v>
      </c>
      <c r="F10" s="57">
        <v>18</v>
      </c>
      <c r="G10" s="57">
        <v>17</v>
      </c>
      <c r="H10" s="57">
        <v>20</v>
      </c>
      <c r="I10" s="57">
        <v>26</v>
      </c>
      <c r="J10" s="57">
        <v>218</v>
      </c>
      <c r="K10" s="57">
        <v>205</v>
      </c>
      <c r="L10" s="57">
        <v>207</v>
      </c>
    </row>
    <row r="11" spans="2:13" ht="14.25" customHeight="1" x14ac:dyDescent="0.3">
      <c r="B11" s="8" t="s">
        <v>112</v>
      </c>
      <c r="C11" s="58">
        <v>5685</v>
      </c>
      <c r="D11" s="58">
        <v>6186</v>
      </c>
      <c r="E11" s="58">
        <v>7170</v>
      </c>
      <c r="F11" s="58">
        <v>7206</v>
      </c>
      <c r="G11" s="58">
        <v>7535</v>
      </c>
      <c r="H11" s="58">
        <v>8802</v>
      </c>
      <c r="I11" s="58">
        <v>9068</v>
      </c>
      <c r="J11" s="58">
        <v>9574</v>
      </c>
      <c r="K11" s="58">
        <v>10486</v>
      </c>
      <c r="L11" s="58">
        <v>11315</v>
      </c>
    </row>
    <row r="12" spans="2:13" ht="14.25" customHeight="1" x14ac:dyDescent="0.3">
      <c r="B12" s="8" t="s">
        <v>113</v>
      </c>
      <c r="C12" s="57">
        <v>45</v>
      </c>
      <c r="D12" s="57">
        <v>78</v>
      </c>
      <c r="E12" s="57">
        <v>62</v>
      </c>
      <c r="F12" s="57">
        <v>43</v>
      </c>
      <c r="G12" s="57">
        <v>158</v>
      </c>
      <c r="H12" s="57">
        <v>96</v>
      </c>
      <c r="I12" s="57">
        <v>119</v>
      </c>
      <c r="J12" s="57">
        <v>98</v>
      </c>
      <c r="K12" s="8">
        <v>91</v>
      </c>
      <c r="L12" s="8">
        <v>105</v>
      </c>
    </row>
    <row r="13" spans="2:13" ht="14.25" customHeight="1" x14ac:dyDescent="0.3">
      <c r="B13" s="8" t="s">
        <v>114</v>
      </c>
      <c r="C13" s="59">
        <v>2293</v>
      </c>
      <c r="D13" s="59">
        <v>2399</v>
      </c>
      <c r="E13" s="59">
        <v>3329</v>
      </c>
      <c r="F13" s="59">
        <v>3396</v>
      </c>
      <c r="G13" s="59">
        <v>4214</v>
      </c>
      <c r="H13" s="59">
        <v>12148</v>
      </c>
      <c r="I13" s="59">
        <v>11189</v>
      </c>
      <c r="J13" s="59">
        <v>11664</v>
      </c>
      <c r="K13" s="59">
        <v>15005</v>
      </c>
      <c r="L13" s="59">
        <v>17186</v>
      </c>
      <c r="M13" s="56"/>
    </row>
    <row r="14" spans="2:13" ht="15" customHeight="1" x14ac:dyDescent="0.3">
      <c r="B14" s="60" t="s">
        <v>36</v>
      </c>
      <c r="C14" s="61">
        <v>14793</v>
      </c>
      <c r="D14" s="61">
        <v>15706</v>
      </c>
      <c r="E14" s="61">
        <v>17862</v>
      </c>
      <c r="F14" s="61">
        <v>18629</v>
      </c>
      <c r="G14" s="61">
        <v>20153</v>
      </c>
      <c r="H14" s="61">
        <v>68740</v>
      </c>
      <c r="I14" s="61">
        <v>70506</v>
      </c>
      <c r="J14" s="61">
        <v>73077</v>
      </c>
      <c r="K14" s="61">
        <v>78489</v>
      </c>
      <c r="L14" s="61">
        <v>79863</v>
      </c>
    </row>
    <row r="15" spans="2:13" ht="15" customHeight="1" x14ac:dyDescent="0.3">
      <c r="C15" s="56"/>
      <c r="D15" s="56"/>
      <c r="E15" s="56"/>
      <c r="F15" s="56"/>
      <c r="G15" s="56"/>
      <c r="H15" s="56"/>
      <c r="I15" s="56"/>
      <c r="J15" s="56"/>
      <c r="K15" s="56"/>
    </row>
    <row r="16" spans="2:13" ht="14.25" customHeight="1" x14ac:dyDescent="0.3">
      <c r="B16" s="8" t="s">
        <v>115</v>
      </c>
      <c r="C16" s="56"/>
      <c r="D16" s="56"/>
      <c r="E16" s="56"/>
      <c r="F16" s="56"/>
      <c r="G16" s="56"/>
      <c r="H16" s="56"/>
      <c r="I16" s="56"/>
      <c r="J16" s="56"/>
      <c r="K16" s="56"/>
    </row>
    <row r="17" spans="2:12" ht="14.25" customHeight="1" x14ac:dyDescent="0.3">
      <c r="B17" s="8" t="s">
        <v>116</v>
      </c>
      <c r="C17" s="62">
        <v>88</v>
      </c>
      <c r="D17" s="62">
        <v>89</v>
      </c>
      <c r="E17" s="62">
        <v>87</v>
      </c>
      <c r="F17" s="62">
        <v>86</v>
      </c>
      <c r="G17" s="62">
        <v>59</v>
      </c>
      <c r="H17" s="62">
        <v>477</v>
      </c>
      <c r="I17" s="62">
        <v>477</v>
      </c>
      <c r="J17" s="62">
        <v>609</v>
      </c>
      <c r="K17" s="63">
        <v>633</v>
      </c>
      <c r="L17" s="63">
        <v>628</v>
      </c>
    </row>
    <row r="18" spans="2:12" ht="14.25" customHeight="1" x14ac:dyDescent="0.3">
      <c r="B18" s="8" t="s">
        <v>117</v>
      </c>
      <c r="C18" s="62">
        <v>931</v>
      </c>
      <c r="D18" s="63">
        <v>1210</v>
      </c>
      <c r="E18" s="63">
        <v>1343</v>
      </c>
      <c r="F18" s="63">
        <v>1527</v>
      </c>
      <c r="G18" s="63">
        <v>2044</v>
      </c>
      <c r="H18" s="63">
        <v>2602</v>
      </c>
      <c r="I18" s="63">
        <v>2788</v>
      </c>
      <c r="J18" s="63">
        <v>3101</v>
      </c>
      <c r="K18" s="63">
        <v>3590</v>
      </c>
      <c r="L18" s="63">
        <v>3833</v>
      </c>
    </row>
    <row r="19" spans="2:12" ht="14.25" customHeight="1" x14ac:dyDescent="0.3">
      <c r="B19" s="8" t="s">
        <v>118</v>
      </c>
      <c r="C19" s="63">
        <v>2370</v>
      </c>
      <c r="D19" s="63">
        <v>3270</v>
      </c>
      <c r="E19" s="63">
        <v>3691</v>
      </c>
      <c r="F19" s="63">
        <v>4092</v>
      </c>
      <c r="G19" s="63">
        <v>5001</v>
      </c>
      <c r="H19" s="63">
        <v>6097</v>
      </c>
      <c r="I19" s="63">
        <v>6566</v>
      </c>
      <c r="J19" s="63">
        <v>7612</v>
      </c>
      <c r="K19" s="63">
        <v>8946</v>
      </c>
      <c r="L19" s="63">
        <v>9900</v>
      </c>
    </row>
    <row r="20" spans="2:12" ht="14.25" customHeight="1" x14ac:dyDescent="0.3">
      <c r="B20" s="8" t="s">
        <v>119</v>
      </c>
      <c r="C20" s="62">
        <v>41</v>
      </c>
      <c r="D20" s="62">
        <v>62</v>
      </c>
      <c r="E20" s="62">
        <v>74</v>
      </c>
      <c r="F20" s="62">
        <v>95</v>
      </c>
      <c r="G20" s="62">
        <v>139</v>
      </c>
      <c r="H20" s="62">
        <v>175</v>
      </c>
      <c r="I20" s="62">
        <v>181</v>
      </c>
      <c r="J20" s="62">
        <v>185</v>
      </c>
      <c r="K20" s="62">
        <v>206</v>
      </c>
      <c r="L20" s="62">
        <v>245</v>
      </c>
    </row>
    <row r="21" spans="2:12" ht="14.25" customHeight="1" x14ac:dyDescent="0.3">
      <c r="B21" s="8" t="s">
        <v>120</v>
      </c>
      <c r="C21" s="62">
        <v>61</v>
      </c>
      <c r="D21" s="62">
        <v>66</v>
      </c>
      <c r="E21" s="62">
        <v>76</v>
      </c>
      <c r="F21" s="62">
        <v>88</v>
      </c>
      <c r="G21" s="62">
        <v>154</v>
      </c>
      <c r="H21" s="62">
        <v>156</v>
      </c>
      <c r="I21" s="62">
        <v>152</v>
      </c>
      <c r="J21" s="62">
        <v>161</v>
      </c>
      <c r="K21" s="62">
        <v>165</v>
      </c>
      <c r="L21" s="62">
        <v>174</v>
      </c>
    </row>
    <row r="22" spans="2:12" ht="14.25" customHeight="1" x14ac:dyDescent="0.3">
      <c r="B22" s="8" t="s">
        <v>121</v>
      </c>
      <c r="C22" s="62">
        <v>0</v>
      </c>
      <c r="D22" s="62">
        <v>0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</row>
    <row r="23" spans="2:12" ht="14.25" customHeight="1" x14ac:dyDescent="0.3">
      <c r="B23" s="8" t="s">
        <v>122</v>
      </c>
      <c r="C23" s="62">
        <v>0</v>
      </c>
      <c r="D23" s="62">
        <v>0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</row>
    <row r="24" spans="2:12" ht="14.25" customHeight="1" x14ac:dyDescent="0.3">
      <c r="B24" s="8" t="s">
        <v>123</v>
      </c>
      <c r="C24" s="62">
        <v>0</v>
      </c>
      <c r="D24" s="62">
        <v>0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33</v>
      </c>
      <c r="K24" s="62">
        <v>39</v>
      </c>
      <c r="L24" s="62">
        <v>102</v>
      </c>
    </row>
    <row r="25" spans="2:12" ht="14.25" customHeight="1" x14ac:dyDescent="0.3">
      <c r="B25" s="8" t="s">
        <v>124</v>
      </c>
      <c r="C25" s="62">
        <v>85</v>
      </c>
      <c r="D25" s="62">
        <v>455</v>
      </c>
      <c r="E25" s="62">
        <v>455</v>
      </c>
      <c r="F25" s="62">
        <v>511</v>
      </c>
      <c r="G25" s="62">
        <v>511</v>
      </c>
      <c r="H25" s="63">
        <v>45262</v>
      </c>
      <c r="I25" s="63">
        <v>45262</v>
      </c>
      <c r="J25" s="63">
        <v>45692</v>
      </c>
      <c r="K25" s="63">
        <v>45692</v>
      </c>
      <c r="L25" s="63">
        <v>45692</v>
      </c>
    </row>
    <row r="26" spans="2:12" ht="14.25" customHeight="1" x14ac:dyDescent="0.3">
      <c r="B26" s="24" t="s">
        <v>88</v>
      </c>
      <c r="C26" s="56">
        <v>3744</v>
      </c>
      <c r="D26" s="56">
        <v>3914</v>
      </c>
      <c r="E26" s="56">
        <v>4705</v>
      </c>
      <c r="F26" s="56">
        <v>8141</v>
      </c>
      <c r="G26" s="56">
        <v>8282</v>
      </c>
      <c r="H26" s="56">
        <v>8392</v>
      </c>
      <c r="I26" s="56">
        <v>8538</v>
      </c>
      <c r="J26" s="56">
        <v>9676</v>
      </c>
      <c r="K26" s="56">
        <v>11622</v>
      </c>
      <c r="L26" s="56">
        <v>11622</v>
      </c>
    </row>
    <row r="27" spans="2:12" ht="14.25" customHeight="1" x14ac:dyDescent="0.3">
      <c r="B27" s="24" t="s">
        <v>125</v>
      </c>
      <c r="C27" s="8">
        <v>337</v>
      </c>
      <c r="D27" s="8">
        <v>752</v>
      </c>
      <c r="E27" s="56">
        <v>1224</v>
      </c>
      <c r="F27" s="56">
        <v>1744</v>
      </c>
      <c r="G27" s="56">
        <v>2500</v>
      </c>
      <c r="H27" s="56">
        <v>3481</v>
      </c>
      <c r="I27" s="56">
        <v>4105</v>
      </c>
      <c r="J27" s="56">
        <v>4886</v>
      </c>
      <c r="K27" s="56">
        <v>5707</v>
      </c>
      <c r="L27" s="56">
        <v>6429</v>
      </c>
    </row>
    <row r="28" spans="2:12" ht="15" customHeight="1" x14ac:dyDescent="0.3">
      <c r="B28" s="60" t="s">
        <v>126</v>
      </c>
      <c r="C28" s="64">
        <f t="shared" ref="C28:L28" si="0">C26-C27</f>
        <v>3407</v>
      </c>
      <c r="D28" s="64">
        <f t="shared" si="0"/>
        <v>3162</v>
      </c>
      <c r="E28" s="64">
        <f t="shared" si="0"/>
        <v>3481</v>
      </c>
      <c r="F28" s="64">
        <f t="shared" si="0"/>
        <v>6397</v>
      </c>
      <c r="G28" s="64">
        <f t="shared" si="0"/>
        <v>5782</v>
      </c>
      <c r="H28" s="64">
        <f t="shared" si="0"/>
        <v>4911</v>
      </c>
      <c r="I28" s="64">
        <f t="shared" si="0"/>
        <v>4433</v>
      </c>
      <c r="J28" s="64">
        <f t="shared" si="0"/>
        <v>4790</v>
      </c>
      <c r="K28" s="64">
        <f t="shared" si="0"/>
        <v>5915</v>
      </c>
      <c r="L28" s="64">
        <f t="shared" si="0"/>
        <v>5193</v>
      </c>
    </row>
    <row r="29" spans="2:12" ht="15" customHeight="1" x14ac:dyDescent="0.3">
      <c r="B29" s="24"/>
      <c r="C29" s="56"/>
      <c r="D29" s="56"/>
      <c r="E29" s="56"/>
      <c r="F29" s="56"/>
      <c r="G29" s="56"/>
      <c r="H29" s="56"/>
      <c r="I29" s="56"/>
      <c r="J29" s="56"/>
      <c r="K29" s="56"/>
    </row>
    <row r="30" spans="2:12" ht="14.25" customHeight="1" x14ac:dyDescent="0.3">
      <c r="B30" s="24" t="s">
        <v>127</v>
      </c>
      <c r="C30" s="8">
        <v>408</v>
      </c>
      <c r="D30" s="8">
        <v>229</v>
      </c>
      <c r="E30" s="56">
        <v>461</v>
      </c>
      <c r="F30" s="8">
        <v>406</v>
      </c>
      <c r="G30" s="8">
        <v>597</v>
      </c>
      <c r="H30" s="8">
        <v>745</v>
      </c>
      <c r="I30" s="56">
        <v>1313</v>
      </c>
      <c r="J30" s="56">
        <v>1132</v>
      </c>
      <c r="K30" s="56">
        <v>1025</v>
      </c>
      <c r="L30" s="56">
        <v>1009</v>
      </c>
    </row>
    <row r="31" spans="2:12" ht="14.25" customHeight="1" x14ac:dyDescent="0.3">
      <c r="B31" s="24" t="s">
        <v>39</v>
      </c>
      <c r="C31" s="56">
        <v>2592</v>
      </c>
      <c r="D31" s="56">
        <v>3794</v>
      </c>
      <c r="E31" s="56">
        <v>2873</v>
      </c>
      <c r="F31" s="56">
        <v>2716</v>
      </c>
      <c r="G31" s="56">
        <v>1255</v>
      </c>
      <c r="H31" s="56">
        <v>2709</v>
      </c>
      <c r="I31" s="56">
        <v>3521</v>
      </c>
      <c r="J31" s="56">
        <v>2882</v>
      </c>
      <c r="K31" s="56">
        <v>4625</v>
      </c>
      <c r="L31" s="56">
        <v>3810</v>
      </c>
    </row>
    <row r="32" spans="2:12" ht="14.25" customHeight="1" x14ac:dyDescent="0.3">
      <c r="B32" s="24"/>
      <c r="C32" s="56"/>
      <c r="D32" s="56"/>
      <c r="E32" s="56"/>
      <c r="F32" s="56"/>
      <c r="G32" s="56"/>
      <c r="H32" s="56"/>
      <c r="I32" s="56"/>
      <c r="J32" s="56"/>
      <c r="K32" s="56"/>
    </row>
    <row r="33" spans="2:12" ht="14.25" customHeight="1" x14ac:dyDescent="0.3">
      <c r="B33" s="24" t="s">
        <v>128</v>
      </c>
      <c r="C33" s="56"/>
      <c r="D33" s="56"/>
      <c r="E33" s="56"/>
      <c r="F33" s="56"/>
      <c r="G33" s="56"/>
      <c r="H33" s="56"/>
      <c r="I33" s="56"/>
      <c r="J33" s="56"/>
      <c r="K33" s="56"/>
    </row>
    <row r="34" spans="2:12" ht="14.25" customHeight="1" x14ac:dyDescent="0.3">
      <c r="B34" s="8" t="s">
        <v>129</v>
      </c>
      <c r="C34" s="63">
        <v>2726</v>
      </c>
      <c r="D34" s="63">
        <v>2541</v>
      </c>
      <c r="E34" s="63">
        <v>2513</v>
      </c>
      <c r="F34" s="63">
        <v>2574</v>
      </c>
      <c r="G34" s="63">
        <v>2767</v>
      </c>
      <c r="H34" s="63">
        <v>3579</v>
      </c>
      <c r="I34" s="63">
        <v>4096</v>
      </c>
      <c r="J34" s="63">
        <v>4251</v>
      </c>
      <c r="K34" s="63">
        <v>4022</v>
      </c>
      <c r="L34" s="63">
        <v>4415</v>
      </c>
    </row>
    <row r="35" spans="2:12" ht="14.25" customHeight="1" x14ac:dyDescent="0.3">
      <c r="B35" s="8" t="s">
        <v>130</v>
      </c>
      <c r="C35" s="63">
        <v>1264</v>
      </c>
      <c r="D35" s="63">
        <v>1085</v>
      </c>
      <c r="E35" s="63">
        <v>1310</v>
      </c>
      <c r="F35" s="63">
        <v>1816</v>
      </c>
      <c r="G35" s="63">
        <v>1149</v>
      </c>
      <c r="H35" s="63">
        <v>1758</v>
      </c>
      <c r="I35" s="63">
        <v>2236</v>
      </c>
      <c r="J35" s="63">
        <v>3079</v>
      </c>
      <c r="K35" s="63">
        <v>2997</v>
      </c>
      <c r="L35" s="63">
        <v>3819</v>
      </c>
    </row>
    <row r="36" spans="2:12" ht="14.25" customHeight="1" x14ac:dyDescent="0.3">
      <c r="B36" s="8" t="s">
        <v>131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197</v>
      </c>
      <c r="J36" s="63">
        <v>407</v>
      </c>
      <c r="K36" s="63">
        <v>200</v>
      </c>
      <c r="L36" s="63">
        <v>313</v>
      </c>
    </row>
    <row r="37" spans="2:12" ht="14.25" customHeight="1" x14ac:dyDescent="0.3">
      <c r="B37" s="8" t="s">
        <v>132</v>
      </c>
      <c r="C37" s="63">
        <v>1294</v>
      </c>
      <c r="D37" s="63">
        <v>1124</v>
      </c>
      <c r="E37" s="63">
        <v>1359</v>
      </c>
      <c r="F37" s="63">
        <v>1848</v>
      </c>
      <c r="G37" s="63">
        <v>1185</v>
      </c>
      <c r="H37" s="63">
        <v>1869</v>
      </c>
      <c r="I37" s="63">
        <v>2142</v>
      </c>
      <c r="J37" s="63">
        <v>2748</v>
      </c>
      <c r="K37" s="63">
        <v>2862</v>
      </c>
      <c r="L37" s="63">
        <v>3574</v>
      </c>
    </row>
    <row r="38" spans="2:12" ht="14.25" customHeight="1" x14ac:dyDescent="0.3">
      <c r="B38" s="8" t="s">
        <v>133</v>
      </c>
      <c r="C38" s="63">
        <v>-30</v>
      </c>
      <c r="D38" s="63">
        <v>-39</v>
      </c>
      <c r="E38" s="63">
        <v>-49</v>
      </c>
      <c r="F38" s="63">
        <v>-32</v>
      </c>
      <c r="G38" s="63">
        <v>-36</v>
      </c>
      <c r="H38" s="63">
        <v>-111</v>
      </c>
      <c r="I38" s="63">
        <v>-103</v>
      </c>
      <c r="J38" s="63">
        <v>-76</v>
      </c>
      <c r="K38" s="63">
        <v>-65</v>
      </c>
      <c r="L38" s="63">
        <v>-68</v>
      </c>
    </row>
    <row r="39" spans="2:12" ht="14.25" customHeight="1" x14ac:dyDescent="0.3">
      <c r="B39" s="8" t="s">
        <v>134</v>
      </c>
      <c r="C39" s="63">
        <v>3009</v>
      </c>
      <c r="D39" s="63">
        <v>1828</v>
      </c>
      <c r="E39" s="63">
        <v>3485</v>
      </c>
      <c r="F39" s="63">
        <v>3757</v>
      </c>
      <c r="G39" s="63">
        <v>5113</v>
      </c>
      <c r="H39" s="63">
        <v>4471</v>
      </c>
      <c r="I39" s="63">
        <v>3846</v>
      </c>
      <c r="J39" s="63">
        <v>4678</v>
      </c>
      <c r="K39" s="63">
        <v>7559</v>
      </c>
      <c r="L39" s="63">
        <v>7554</v>
      </c>
    </row>
    <row r="40" spans="2:12" ht="14.25" customHeight="1" x14ac:dyDescent="0.3">
      <c r="B40" s="8" t="s">
        <v>135</v>
      </c>
      <c r="C40" s="62">
        <v>0</v>
      </c>
      <c r="D40" s="62">
        <v>71</v>
      </c>
      <c r="E40" s="62">
        <v>40</v>
      </c>
      <c r="F40" s="62">
        <v>26</v>
      </c>
      <c r="G40" s="62">
        <v>19</v>
      </c>
      <c r="H40" s="62">
        <v>78</v>
      </c>
      <c r="I40" s="62">
        <v>170</v>
      </c>
      <c r="J40" s="62">
        <v>188</v>
      </c>
      <c r="K40" s="62">
        <v>172</v>
      </c>
      <c r="L40" s="62">
        <v>242</v>
      </c>
    </row>
    <row r="41" spans="2:12" ht="14.25" customHeight="1" x14ac:dyDescent="0.3">
      <c r="B41" s="8" t="s">
        <v>136</v>
      </c>
      <c r="C41" s="65">
        <v>1536</v>
      </c>
      <c r="D41" s="65">
        <v>1739</v>
      </c>
      <c r="E41" s="65">
        <v>2652</v>
      </c>
      <c r="F41" s="65">
        <v>2619</v>
      </c>
      <c r="G41" s="65">
        <v>3774</v>
      </c>
      <c r="H41" s="65">
        <v>3957</v>
      </c>
      <c r="I41" s="65">
        <v>3851</v>
      </c>
      <c r="J41" s="65">
        <v>4189</v>
      </c>
      <c r="K41" s="65">
        <v>4345</v>
      </c>
      <c r="L41" s="65">
        <v>4679</v>
      </c>
    </row>
    <row r="42" spans="2:12" ht="15" customHeight="1" x14ac:dyDescent="0.3">
      <c r="B42" s="60" t="s">
        <v>137</v>
      </c>
      <c r="C42" s="61">
        <v>14793</v>
      </c>
      <c r="D42" s="61">
        <v>15706</v>
      </c>
      <c r="E42" s="61">
        <v>17862</v>
      </c>
      <c r="F42" s="61">
        <v>18629</v>
      </c>
      <c r="G42" s="61">
        <v>20153</v>
      </c>
      <c r="H42" s="61">
        <v>68740</v>
      </c>
      <c r="I42" s="61">
        <v>70506</v>
      </c>
      <c r="J42" s="61">
        <v>73077</v>
      </c>
      <c r="K42" s="61">
        <v>78489</v>
      </c>
      <c r="L42" s="61">
        <v>79863</v>
      </c>
    </row>
    <row r="43" spans="2:12" ht="15" customHeight="1" x14ac:dyDescent="0.3"/>
    <row r="45" spans="2:12" ht="14.25" customHeight="1" x14ac:dyDescent="0.3">
      <c r="B45" s="8" t="s">
        <v>138</v>
      </c>
      <c r="C45" s="56"/>
      <c r="D45" s="56"/>
      <c r="E45" s="56"/>
      <c r="F45" s="56"/>
      <c r="G45" s="56"/>
      <c r="H45" s="56"/>
      <c r="I45" s="56"/>
      <c r="J45" s="56"/>
      <c r="K45" s="56"/>
    </row>
    <row r="46" spans="2:12" ht="14.25" customHeight="1" x14ac:dyDescent="0.3">
      <c r="B46" s="8" t="s">
        <v>50</v>
      </c>
      <c r="C46" s="66">
        <v>2848</v>
      </c>
      <c r="D46" s="66">
        <v>3056</v>
      </c>
      <c r="E46" s="66">
        <v>3274</v>
      </c>
      <c r="F46" s="66">
        <v>3861</v>
      </c>
      <c r="G46" s="66">
        <v>4380</v>
      </c>
      <c r="H46" s="66">
        <v>4970</v>
      </c>
      <c r="I46" s="66">
        <v>4957</v>
      </c>
      <c r="J46" s="66">
        <v>6460</v>
      </c>
      <c r="K46" s="66">
        <v>7929</v>
      </c>
      <c r="L46" s="66">
        <v>7929</v>
      </c>
    </row>
    <row r="47" spans="2:12" ht="14.25" customHeight="1" x14ac:dyDescent="0.3">
      <c r="B47" s="8" t="s">
        <v>42</v>
      </c>
      <c r="C47" s="66">
        <v>-146</v>
      </c>
      <c r="D47" s="66">
        <v>-475</v>
      </c>
      <c r="E47" s="66">
        <v>-483</v>
      </c>
      <c r="F47" s="66">
        <v>-205</v>
      </c>
      <c r="G47" s="66">
        <v>160</v>
      </c>
      <c r="H47" s="66">
        <v>-849</v>
      </c>
      <c r="I47" s="66">
        <v>-1326</v>
      </c>
      <c r="J47" s="66">
        <v>-834</v>
      </c>
      <c r="K47" s="66">
        <v>-362</v>
      </c>
      <c r="L47" s="66">
        <v>-362</v>
      </c>
    </row>
    <row r="48" spans="2:12" ht="14.25" customHeight="1" x14ac:dyDescent="0.3">
      <c r="B48" s="8" t="s">
        <v>43</v>
      </c>
      <c r="C48" s="66">
        <v>202</v>
      </c>
      <c r="D48" s="66">
        <v>-629</v>
      </c>
      <c r="E48" s="66">
        <v>-39</v>
      </c>
      <c r="F48" s="66">
        <v>-492</v>
      </c>
      <c r="G48" s="66">
        <v>-251</v>
      </c>
      <c r="H48" s="66">
        <v>-409</v>
      </c>
      <c r="I48" s="67">
        <v>-2354</v>
      </c>
      <c r="J48" s="66">
        <v>-56</v>
      </c>
      <c r="K48" s="66">
        <v>315</v>
      </c>
      <c r="L48" s="66">
        <v>315</v>
      </c>
    </row>
    <row r="49" spans="2:12" ht="14.25" customHeight="1" x14ac:dyDescent="0.3">
      <c r="B49" s="8" t="s">
        <v>51</v>
      </c>
      <c r="C49" s="66">
        <v>142</v>
      </c>
      <c r="D49" s="66">
        <v>501</v>
      </c>
      <c r="E49" s="66">
        <v>442</v>
      </c>
      <c r="F49" s="66">
        <v>287</v>
      </c>
      <c r="G49" s="66">
        <v>-241</v>
      </c>
      <c r="H49" s="66">
        <v>1143</v>
      </c>
      <c r="I49" s="66">
        <v>644</v>
      </c>
      <c r="J49" s="66">
        <v>-539</v>
      </c>
      <c r="K49" s="66">
        <v>269</v>
      </c>
      <c r="L49" s="66">
        <v>269</v>
      </c>
    </row>
    <row r="50" spans="2:12" ht="14.25" customHeight="1" x14ac:dyDescent="0.3">
      <c r="B50" s="8" t="s">
        <v>54</v>
      </c>
      <c r="C50" s="67">
        <v>0</v>
      </c>
      <c r="D50" s="67">
        <v>0</v>
      </c>
      <c r="E50" s="67">
        <v>0</v>
      </c>
      <c r="F50" s="67">
        <v>0</v>
      </c>
      <c r="G50" s="67">
        <v>0</v>
      </c>
      <c r="H50" s="66">
        <v>-92</v>
      </c>
      <c r="I50" s="66">
        <v>242</v>
      </c>
      <c r="J50" s="66">
        <v>657</v>
      </c>
      <c r="K50" s="66">
        <v>-212</v>
      </c>
      <c r="L50" s="66">
        <v>-212</v>
      </c>
    </row>
    <row r="51" spans="2:12" ht="14.25" customHeight="1" x14ac:dyDescent="0.3">
      <c r="B51" s="8" t="s">
        <v>55</v>
      </c>
      <c r="C51" s="66">
        <v>198</v>
      </c>
      <c r="D51" s="66">
        <v>-603</v>
      </c>
      <c r="E51" s="66">
        <v>-80</v>
      </c>
      <c r="F51" s="66">
        <v>-410</v>
      </c>
      <c r="G51" s="66">
        <v>-331</v>
      </c>
      <c r="H51" s="66">
        <v>-206</v>
      </c>
      <c r="I51" s="66">
        <v>-2795</v>
      </c>
      <c r="J51" s="66">
        <v>-772</v>
      </c>
      <c r="K51" s="66">
        <v>10</v>
      </c>
      <c r="L51" s="66">
        <v>10</v>
      </c>
    </row>
    <row r="52" spans="2:12" ht="14.25" customHeight="1" x14ac:dyDescent="0.3">
      <c r="B52" s="8" t="s">
        <v>56</v>
      </c>
      <c r="C52" s="67">
        <v>-802</v>
      </c>
      <c r="D52" s="67">
        <v>-925</v>
      </c>
      <c r="E52" s="67">
        <v>-1081</v>
      </c>
      <c r="F52" s="67">
        <v>-982</v>
      </c>
      <c r="G52" s="67">
        <v>-1011</v>
      </c>
      <c r="H52" s="67">
        <v>-1080</v>
      </c>
      <c r="I52" s="67">
        <v>-1176</v>
      </c>
      <c r="J52" s="67">
        <v>-1494</v>
      </c>
      <c r="K52" s="67">
        <v>-1835</v>
      </c>
      <c r="L52" s="67">
        <v>-1835</v>
      </c>
    </row>
    <row r="53" spans="2:12" ht="15" customHeight="1" x14ac:dyDescent="0.3">
      <c r="B53" s="68" t="s">
        <v>138</v>
      </c>
      <c r="C53" s="69">
        <f t="shared" ref="C53:L53" si="1">SUM(C46:C52)</f>
        <v>2442</v>
      </c>
      <c r="D53" s="69">
        <f t="shared" si="1"/>
        <v>925</v>
      </c>
      <c r="E53" s="69">
        <f t="shared" si="1"/>
        <v>2033</v>
      </c>
      <c r="F53" s="69">
        <f t="shared" si="1"/>
        <v>2059</v>
      </c>
      <c r="G53" s="69">
        <f t="shared" si="1"/>
        <v>2706</v>
      </c>
      <c r="H53" s="69">
        <f t="shared" si="1"/>
        <v>3477</v>
      </c>
      <c r="I53" s="69">
        <f t="shared" si="1"/>
        <v>-1808</v>
      </c>
      <c r="J53" s="69">
        <f t="shared" si="1"/>
        <v>3422</v>
      </c>
      <c r="K53" s="69">
        <f t="shared" si="1"/>
        <v>6114</v>
      </c>
      <c r="L53" s="69">
        <f t="shared" si="1"/>
        <v>6114</v>
      </c>
    </row>
    <row r="54" spans="2:12" ht="14.25" customHeight="1" x14ac:dyDescent="0.3">
      <c r="B54" s="8" t="s">
        <v>139</v>
      </c>
      <c r="C54" s="56"/>
      <c r="D54" s="56"/>
      <c r="E54" s="56"/>
      <c r="F54" s="56"/>
      <c r="G54" s="56"/>
      <c r="H54" s="56"/>
      <c r="I54" s="56"/>
      <c r="J54" s="56"/>
      <c r="K54" s="56"/>
      <c r="L54" s="56"/>
    </row>
    <row r="55" spans="2:12" ht="14.25" customHeight="1" x14ac:dyDescent="0.3">
      <c r="B55" s="8" t="s">
        <v>60</v>
      </c>
      <c r="C55" s="66">
        <f>'Cash Flow Statement'!C18</f>
        <v>-810</v>
      </c>
      <c r="D55" s="66">
        <f>'Cash Flow Statement'!D18</f>
        <v>-1113</v>
      </c>
      <c r="E55" s="66">
        <f>'Cash Flow Statement'!E18</f>
        <v>-895</v>
      </c>
      <c r="F55" s="66">
        <f>'Cash Flow Statement'!F18</f>
        <v>-767</v>
      </c>
      <c r="G55" s="66">
        <f>'Cash Flow Statement'!G18</f>
        <v>-862</v>
      </c>
      <c r="H55" s="66">
        <f>'Cash Flow Statement'!H18</f>
        <v>-4163</v>
      </c>
      <c r="I55" s="66">
        <f>'Cash Flow Statement'!I18</f>
        <v>-1228</v>
      </c>
      <c r="J55" s="66">
        <f>'Cash Flow Statement'!J18</f>
        <v>-1192</v>
      </c>
      <c r="K55" s="66">
        <f>'Cash Flow Statement'!K18</f>
        <v>-1477</v>
      </c>
      <c r="L55" s="66">
        <f>'Cash Flow Statement'!L18</f>
        <v>-1275</v>
      </c>
    </row>
    <row r="56" spans="2:12" ht="14.25" customHeight="1" x14ac:dyDescent="0.3">
      <c r="B56" s="8" t="s">
        <v>61</v>
      </c>
      <c r="C56" s="66">
        <f>'Cash Flow Statement'!C19</f>
        <v>99</v>
      </c>
      <c r="D56" s="66">
        <f>'Cash Flow Statement'!D19</f>
        <v>176</v>
      </c>
      <c r="E56" s="66">
        <f>'Cash Flow Statement'!E19</f>
        <v>32</v>
      </c>
      <c r="F56" s="66">
        <f>'Cash Flow Statement'!F19</f>
        <v>13</v>
      </c>
      <c r="G56" s="66">
        <f>'Cash Flow Statement'!G19</f>
        <v>52</v>
      </c>
      <c r="H56" s="66">
        <f>'Cash Flow Statement'!H19</f>
        <v>97</v>
      </c>
      <c r="I56" s="66">
        <f>'Cash Flow Statement'!I19</f>
        <v>175</v>
      </c>
      <c r="J56" s="66">
        <f>'Cash Flow Statement'!J19</f>
        <v>181</v>
      </c>
      <c r="K56" s="66">
        <f>'Cash Flow Statement'!K19</f>
        <v>20</v>
      </c>
      <c r="L56" s="66">
        <f>'Cash Flow Statement'!L19</f>
        <v>13</v>
      </c>
    </row>
    <row r="57" spans="2:12" ht="14.25" customHeight="1" x14ac:dyDescent="0.3">
      <c r="B57" s="8" t="s">
        <v>62</v>
      </c>
      <c r="C57" s="66">
        <f>'Cash Flow Statement'!C20</f>
        <v>-20666</v>
      </c>
      <c r="D57" s="66">
        <f>'Cash Flow Statement'!D20</f>
        <v>-31214</v>
      </c>
      <c r="E57" s="66">
        <f>'Cash Flow Statement'!E20</f>
        <v>-51855</v>
      </c>
      <c r="F57" s="66">
        <f>'Cash Flow Statement'!F20</f>
        <v>-74365</v>
      </c>
      <c r="G57" s="66">
        <f>'Cash Flow Statement'!G20</f>
        <v>-36090</v>
      </c>
      <c r="H57" s="66">
        <f>'Cash Flow Statement'!H20</f>
        <v>-39920</v>
      </c>
      <c r="I57" s="66">
        <f>'Cash Flow Statement'!I20</f>
        <v>-48522</v>
      </c>
      <c r="J57" s="66">
        <f>'Cash Flow Statement'!J20</f>
        <v>-22649</v>
      </c>
      <c r="K57" s="66">
        <f>'Cash Flow Statement'!K20</f>
        <v>-21337</v>
      </c>
      <c r="L57" s="66">
        <f>'Cash Flow Statement'!L20</f>
        <v>-22957</v>
      </c>
    </row>
    <row r="58" spans="2:12" ht="14.25" customHeight="1" x14ac:dyDescent="0.3">
      <c r="B58" s="8" t="s">
        <v>63</v>
      </c>
      <c r="C58" s="66">
        <f>'Cash Flow Statement'!C21</f>
        <v>20937</v>
      </c>
      <c r="D58" s="66">
        <f>'Cash Flow Statement'!D21</f>
        <v>30083</v>
      </c>
      <c r="E58" s="66">
        <f>'Cash Flow Statement'!E21</f>
        <v>52897</v>
      </c>
      <c r="F58" s="66">
        <f>'Cash Flow Statement'!F21</f>
        <v>74691</v>
      </c>
      <c r="G58" s="66">
        <f>'Cash Flow Statement'!G21</f>
        <v>37690</v>
      </c>
      <c r="H58" s="66">
        <f>'Cash Flow Statement'!H21</f>
        <v>38486</v>
      </c>
      <c r="I58" s="66">
        <f>'Cash Flow Statement'!I21</f>
        <v>47786</v>
      </c>
      <c r="J58" s="66">
        <f>'Cash Flow Statement'!J21</f>
        <v>23462</v>
      </c>
      <c r="K58" s="66">
        <f>'Cash Flow Statement'!K21</f>
        <v>19846</v>
      </c>
      <c r="L58" s="66">
        <f>'Cash Flow Statement'!L21</f>
        <v>23987</v>
      </c>
    </row>
    <row r="59" spans="2:12" ht="14.25" customHeight="1" x14ac:dyDescent="0.3">
      <c r="B59" s="8" t="s">
        <v>64</v>
      </c>
      <c r="C59" s="66">
        <f>'Cash Flow Statement'!C22</f>
        <v>315</v>
      </c>
      <c r="D59" s="66">
        <f>'Cash Flow Statement'!D22</f>
        <v>264</v>
      </c>
      <c r="E59" s="66">
        <f>'Cash Flow Statement'!E22</f>
        <v>297</v>
      </c>
      <c r="F59" s="66">
        <f>'Cash Flow Statement'!F22</f>
        <v>289</v>
      </c>
      <c r="G59" s="66">
        <f>'Cash Flow Statement'!G22</f>
        <v>351</v>
      </c>
      <c r="H59" s="66">
        <f>'Cash Flow Statement'!H22</f>
        <v>277</v>
      </c>
      <c r="I59" s="66">
        <f>'Cash Flow Statement'!I22</f>
        <v>161</v>
      </c>
      <c r="J59" s="66">
        <f>'Cash Flow Statement'!J22</f>
        <v>259</v>
      </c>
      <c r="K59" s="66">
        <f>'Cash Flow Statement'!K22</f>
        <v>425</v>
      </c>
      <c r="L59" s="66">
        <f>'Cash Flow Statement'!L22</f>
        <v>835</v>
      </c>
    </row>
    <row r="60" spans="2:12" ht="14.25" customHeight="1" x14ac:dyDescent="0.3">
      <c r="B60" s="8" t="s">
        <v>65</v>
      </c>
      <c r="C60" s="66">
        <f>'Cash Flow Statement'!C23</f>
        <v>33</v>
      </c>
      <c r="D60" s="66">
        <f>'Cash Flow Statement'!D23</f>
        <v>14</v>
      </c>
      <c r="E60" s="66">
        <f>'Cash Flow Statement'!E23</f>
        <v>0</v>
      </c>
      <c r="F60" s="66">
        <f>'Cash Flow Statement'!F23</f>
        <v>1</v>
      </c>
      <c r="G60" s="66">
        <f>'Cash Flow Statement'!G23</f>
        <v>1</v>
      </c>
      <c r="H60" s="66">
        <f>'Cash Flow Statement'!H23</f>
        <v>1</v>
      </c>
      <c r="I60" s="66">
        <f>'Cash Flow Statement'!I23</f>
        <v>1</v>
      </c>
      <c r="J60" s="66">
        <f>'Cash Flow Statement'!J23</f>
        <v>2</v>
      </c>
      <c r="K60" s="66">
        <f>'Cash Flow Statement'!K23</f>
        <v>3</v>
      </c>
      <c r="L60" s="66">
        <f>'Cash Flow Statement'!L23</f>
        <v>0</v>
      </c>
    </row>
    <row r="61" spans="2:12" ht="14.25" customHeight="1" x14ac:dyDescent="0.3">
      <c r="B61" s="8" t="s">
        <v>140</v>
      </c>
      <c r="C61" s="66">
        <f>'Cash Flow Statement'!C24</f>
        <v>0</v>
      </c>
      <c r="D61" s="66">
        <f>'Cash Flow Statement'!D24</f>
        <v>0</v>
      </c>
      <c r="E61" s="66">
        <f>'Cash Flow Statement'!E24</f>
        <v>0</v>
      </c>
      <c r="F61" s="66">
        <f>'Cash Flow Statement'!F24</f>
        <v>0</v>
      </c>
      <c r="G61" s="66">
        <f>'Cash Flow Statement'!G24</f>
        <v>0</v>
      </c>
      <c r="H61" s="66">
        <f>'Cash Flow Statement'!H24</f>
        <v>0</v>
      </c>
      <c r="I61" s="66">
        <f>'Cash Flow Statement'!I24</f>
        <v>0</v>
      </c>
      <c r="J61" s="66">
        <f>'Cash Flow Statement'!J24</f>
        <v>0</v>
      </c>
      <c r="K61" s="66">
        <f>'Cash Flow Statement'!K24</f>
        <v>0</v>
      </c>
      <c r="L61" s="66">
        <f>'Cash Flow Statement'!L24</f>
        <v>0</v>
      </c>
    </row>
    <row r="62" spans="2:12" ht="14.25" customHeight="1" x14ac:dyDescent="0.3">
      <c r="B62" s="8" t="s">
        <v>141</v>
      </c>
      <c r="C62" s="66">
        <f>'Cash Flow Statement'!C25</f>
        <v>0</v>
      </c>
      <c r="D62" s="66">
        <f>'Cash Flow Statement'!D25</f>
        <v>0</v>
      </c>
      <c r="E62" s="66">
        <f>'Cash Flow Statement'!E25</f>
        <v>0</v>
      </c>
      <c r="F62" s="66">
        <f>'Cash Flow Statement'!F25</f>
        <v>0</v>
      </c>
      <c r="G62" s="66">
        <f>'Cash Flow Statement'!G25</f>
        <v>0</v>
      </c>
      <c r="H62" s="66">
        <f>'Cash Flow Statement'!H25</f>
        <v>0</v>
      </c>
      <c r="I62" s="66">
        <f>'Cash Flow Statement'!I25</f>
        <v>0</v>
      </c>
      <c r="J62" s="66">
        <f>'Cash Flow Statement'!J25</f>
        <v>0</v>
      </c>
      <c r="K62" s="66">
        <f>'Cash Flow Statement'!K25</f>
        <v>0</v>
      </c>
      <c r="L62" s="66">
        <f>'Cash Flow Statement'!L25</f>
        <v>0</v>
      </c>
    </row>
    <row r="63" spans="2:12" ht="14.25" customHeight="1" x14ac:dyDescent="0.3">
      <c r="B63" s="8" t="s">
        <v>67</v>
      </c>
      <c r="C63" s="66">
        <f>'Cash Flow Statement'!C26</f>
        <v>161</v>
      </c>
      <c r="D63" s="66">
        <f>'Cash Flow Statement'!D26</f>
        <v>20</v>
      </c>
      <c r="E63" s="66">
        <f>'Cash Flow Statement'!E26</f>
        <v>73</v>
      </c>
      <c r="F63" s="66">
        <f>'Cash Flow Statement'!F26</f>
        <v>0</v>
      </c>
      <c r="G63" s="66">
        <f>'Cash Flow Statement'!G26</f>
        <v>0</v>
      </c>
      <c r="H63" s="66">
        <f>'Cash Flow Statement'!H26</f>
        <v>0</v>
      </c>
      <c r="I63" s="66">
        <f>'Cash Flow Statement'!I26</f>
        <v>0</v>
      </c>
      <c r="J63" s="66">
        <f>'Cash Flow Statement'!J26</f>
        <v>0</v>
      </c>
      <c r="K63" s="66">
        <f>'Cash Flow Statement'!K26</f>
        <v>0</v>
      </c>
      <c r="L63" s="66">
        <f>'Cash Flow Statement'!L26</f>
        <v>0</v>
      </c>
    </row>
    <row r="64" spans="2:12" ht="14.25" customHeight="1" x14ac:dyDescent="0.3">
      <c r="B64" s="8" t="s">
        <v>68</v>
      </c>
      <c r="C64" s="66">
        <f>'Cash Flow Statement'!C27</f>
        <v>0</v>
      </c>
      <c r="D64" s="66">
        <f>'Cash Flow Statement'!D27</f>
        <v>0</v>
      </c>
      <c r="E64" s="66">
        <f>'Cash Flow Statement'!E27</f>
        <v>0</v>
      </c>
      <c r="F64" s="66">
        <f>'Cash Flow Statement'!F27</f>
        <v>0</v>
      </c>
      <c r="G64" s="66">
        <f>'Cash Flow Statement'!G27</f>
        <v>0</v>
      </c>
      <c r="H64" s="66">
        <f>'Cash Flow Statement'!H27</f>
        <v>0</v>
      </c>
      <c r="I64" s="66">
        <f>'Cash Flow Statement'!I27</f>
        <v>0</v>
      </c>
      <c r="J64" s="66">
        <f>'Cash Flow Statement'!J27</f>
        <v>-334</v>
      </c>
      <c r="K64" s="66">
        <f>'Cash Flow Statement'!K27</f>
        <v>0</v>
      </c>
      <c r="L64" s="66">
        <f>'Cash Flow Statement'!L27</f>
        <v>0</v>
      </c>
    </row>
    <row r="65" spans="2:12" ht="14.25" customHeight="1" x14ac:dyDescent="0.3">
      <c r="B65" s="8" t="s">
        <v>69</v>
      </c>
      <c r="C65" s="66">
        <f>'Cash Flow Statement'!C28</f>
        <v>-351</v>
      </c>
      <c r="D65" s="66">
        <f>'Cash Flow Statement'!D28</f>
        <v>597</v>
      </c>
      <c r="E65" s="66">
        <f>'Cash Flow Statement'!E28</f>
        <v>-1612</v>
      </c>
      <c r="F65" s="66">
        <f>'Cash Flow Statement'!F28</f>
        <v>-300</v>
      </c>
      <c r="G65" s="66">
        <f>'Cash Flow Statement'!G28</f>
        <v>649</v>
      </c>
      <c r="H65" s="66">
        <f>'Cash Flow Statement'!H28</f>
        <v>3994</v>
      </c>
      <c r="I65" s="66">
        <f>'Cash Flow Statement'!I28</f>
        <v>-101</v>
      </c>
      <c r="J65" s="66">
        <f>'Cash Flow Statement'!J28</f>
        <v>-1213</v>
      </c>
      <c r="K65" s="66">
        <f>'Cash Flow Statement'!K28</f>
        <v>-2804</v>
      </c>
      <c r="L65" s="66">
        <f>'Cash Flow Statement'!L28</f>
        <v>5870</v>
      </c>
    </row>
    <row r="66" spans="2:12" ht="15" customHeight="1" x14ac:dyDescent="0.3">
      <c r="B66" s="70" t="s">
        <v>139</v>
      </c>
      <c r="C66" s="71">
        <f t="shared" ref="C66:L66" si="2">SUM(C55:C65)</f>
        <v>-282</v>
      </c>
      <c r="D66" s="71">
        <f t="shared" si="2"/>
        <v>-1173</v>
      </c>
      <c r="E66" s="71">
        <f t="shared" si="2"/>
        <v>-1063</v>
      </c>
      <c r="F66" s="71">
        <f t="shared" si="2"/>
        <v>-438</v>
      </c>
      <c r="G66" s="71">
        <f t="shared" si="2"/>
        <v>1791</v>
      </c>
      <c r="H66" s="71">
        <f t="shared" si="2"/>
        <v>-1228</v>
      </c>
      <c r="I66" s="71">
        <f t="shared" si="2"/>
        <v>-1728</v>
      </c>
      <c r="J66" s="71">
        <f t="shared" si="2"/>
        <v>-1484</v>
      </c>
      <c r="K66" s="71">
        <f t="shared" si="2"/>
        <v>-5324</v>
      </c>
      <c r="L66" s="71">
        <f t="shared" si="2"/>
        <v>6473</v>
      </c>
    </row>
    <row r="67" spans="2:12" ht="15" customHeight="1" x14ac:dyDescent="0.3">
      <c r="B67" s="8" t="s">
        <v>142</v>
      </c>
      <c r="C67" s="56"/>
      <c r="D67" s="56"/>
      <c r="E67" s="56"/>
      <c r="F67" s="56"/>
      <c r="G67" s="56"/>
      <c r="H67" s="56"/>
      <c r="I67" s="56"/>
      <c r="J67" s="56"/>
      <c r="K67" s="56"/>
      <c r="L67" s="56"/>
    </row>
    <row r="68" spans="2:12" ht="14.25" customHeight="1" x14ac:dyDescent="0.3">
      <c r="B68" s="8" t="s">
        <v>72</v>
      </c>
      <c r="C68" s="67">
        <f>'Cash Flow Statement'!C31</f>
        <v>0</v>
      </c>
      <c r="D68" s="67">
        <f>'Cash Flow Statement'!D31</f>
        <v>0</v>
      </c>
      <c r="E68" s="67">
        <f>'Cash Flow Statement'!E31</f>
        <v>0</v>
      </c>
      <c r="F68" s="67">
        <f>'Cash Flow Statement'!F31</f>
        <v>0</v>
      </c>
      <c r="G68" s="67">
        <f>'Cash Flow Statement'!G31</f>
        <v>0</v>
      </c>
      <c r="H68" s="67">
        <f>'Cash Flow Statement'!H31</f>
        <v>0</v>
      </c>
      <c r="I68" s="67">
        <f>'Cash Flow Statement'!I31</f>
        <v>0</v>
      </c>
      <c r="J68" s="67">
        <f>'Cash Flow Statement'!J31</f>
        <v>0</v>
      </c>
      <c r="K68" s="67">
        <f>'Cash Flow Statement'!K31</f>
        <v>0</v>
      </c>
      <c r="L68" s="67">
        <f>'Cash Flow Statement'!L31</f>
        <v>0</v>
      </c>
    </row>
    <row r="69" spans="2:12" ht="14.25" customHeight="1" x14ac:dyDescent="0.3">
      <c r="B69" s="8" t="s">
        <v>73</v>
      </c>
      <c r="C69" s="67">
        <f>'Cash Flow Statement'!C32</f>
        <v>177</v>
      </c>
      <c r="D69" s="67">
        <f>'Cash Flow Statement'!D32</f>
        <v>460</v>
      </c>
      <c r="E69" s="67">
        <f>'Cash Flow Statement'!E32</f>
        <v>0</v>
      </c>
      <c r="F69" s="67">
        <f>'Cash Flow Statement'!F32</f>
        <v>99</v>
      </c>
      <c r="G69" s="67">
        <f>'Cash Flow Statement'!G32</f>
        <v>0</v>
      </c>
      <c r="H69" s="67">
        <f>'Cash Flow Statement'!H32</f>
        <v>188</v>
      </c>
      <c r="I69" s="67">
        <f>'Cash Flow Statement'!I32</f>
        <v>55</v>
      </c>
      <c r="J69" s="67">
        <f>'Cash Flow Statement'!J32</f>
        <v>286</v>
      </c>
      <c r="K69" s="67">
        <f>'Cash Flow Statement'!K32</f>
        <v>0</v>
      </c>
      <c r="L69" s="67">
        <f>'Cash Flow Statement'!L32</f>
        <v>0</v>
      </c>
    </row>
    <row r="70" spans="2:12" ht="14.25" customHeight="1" x14ac:dyDescent="0.3">
      <c r="B70" s="8" t="s">
        <v>74</v>
      </c>
      <c r="C70" s="67">
        <f>'Cash Flow Statement'!C33</f>
        <v>0</v>
      </c>
      <c r="D70" s="67">
        <f>'Cash Flow Statement'!D33</f>
        <v>-360</v>
      </c>
      <c r="E70" s="67">
        <f>'Cash Flow Statement'!E33</f>
        <v>-277</v>
      </c>
      <c r="F70" s="67">
        <f>'Cash Flow Statement'!F33</f>
        <v>0</v>
      </c>
      <c r="G70" s="67">
        <f>'Cash Flow Statement'!G33</f>
        <v>-99</v>
      </c>
      <c r="H70" s="67">
        <f>'Cash Flow Statement'!H33</f>
        <v>-188</v>
      </c>
      <c r="I70" s="67">
        <f>'Cash Flow Statement'!I33</f>
        <v>-55</v>
      </c>
      <c r="J70" s="67">
        <f>'Cash Flow Statement'!J33</f>
        <v>-208</v>
      </c>
      <c r="K70" s="67">
        <f>'Cash Flow Statement'!K33</f>
        <v>-85</v>
      </c>
      <c r="L70" s="67">
        <f>'Cash Flow Statement'!L33</f>
        <v>0</v>
      </c>
    </row>
    <row r="71" spans="2:12" ht="14.25" customHeight="1" x14ac:dyDescent="0.3">
      <c r="B71" s="8" t="s">
        <v>75</v>
      </c>
      <c r="C71" s="67">
        <f>'Cash Flow Statement'!C34</f>
        <v>-2</v>
      </c>
      <c r="D71" s="67">
        <f>'Cash Flow Statement'!D34</f>
        <v>-14</v>
      </c>
      <c r="E71" s="67">
        <f>'Cash Flow Statement'!E34</f>
        <v>-6</v>
      </c>
      <c r="F71" s="67">
        <f>'Cash Flow Statement'!F34</f>
        <v>-7</v>
      </c>
      <c r="G71" s="67">
        <f>'Cash Flow Statement'!G34</f>
        <v>-90</v>
      </c>
      <c r="H71" s="67">
        <f>'Cash Flow Statement'!H34</f>
        <v>-92</v>
      </c>
      <c r="I71" s="67">
        <f>'Cash Flow Statement'!I34</f>
        <v>-82</v>
      </c>
      <c r="J71" s="67">
        <f>'Cash Flow Statement'!J34</f>
        <v>-88</v>
      </c>
      <c r="K71" s="67">
        <f>'Cash Flow Statement'!K34</f>
        <v>-110</v>
      </c>
      <c r="L71" s="67">
        <f>'Cash Flow Statement'!L34</f>
        <v>-130</v>
      </c>
    </row>
    <row r="72" spans="2:12" ht="14.25" customHeight="1" x14ac:dyDescent="0.3">
      <c r="B72" s="8" t="s">
        <v>76</v>
      </c>
      <c r="C72" s="67">
        <f>'Cash Flow Statement'!C35</f>
        <v>-3354</v>
      </c>
      <c r="D72" s="67">
        <f>'Cash Flow Statement'!D35</f>
        <v>-3572</v>
      </c>
      <c r="E72" s="67">
        <f>'Cash Flow Statement'!E35</f>
        <v>-3911</v>
      </c>
      <c r="F72" s="67">
        <f>'Cash Flow Statement'!F35</f>
        <v>-4554</v>
      </c>
      <c r="G72" s="67">
        <f>'Cash Flow Statement'!G35</f>
        <v>-5196</v>
      </c>
      <c r="H72" s="67">
        <f>'Cash Flow Statement'!H35</f>
        <v>-8811</v>
      </c>
      <c r="I72" s="67">
        <f>'Cash Flow Statement'!I35</f>
        <v>-7526</v>
      </c>
      <c r="J72" s="67">
        <f>'Cash Flow Statement'!J35</f>
        <v>-8474</v>
      </c>
      <c r="K72" s="67">
        <f>'Cash Flow Statement'!K35</f>
        <v>-9416</v>
      </c>
      <c r="L72" s="67">
        <f>'Cash Flow Statement'!L35</f>
        <v>-12473</v>
      </c>
    </row>
    <row r="73" spans="2:12" ht="14.25" customHeight="1" x14ac:dyDescent="0.3">
      <c r="B73" s="8" t="s">
        <v>77</v>
      </c>
      <c r="C73" s="67">
        <f>'Cash Flow Statement'!C36</f>
        <v>0</v>
      </c>
      <c r="D73" s="67">
        <f>'Cash Flow Statement'!D36</f>
        <v>0</v>
      </c>
      <c r="E73" s="67">
        <f>'Cash Flow Statement'!E36</f>
        <v>0</v>
      </c>
      <c r="F73" s="67">
        <f>'Cash Flow Statement'!F36</f>
        <v>0</v>
      </c>
      <c r="G73" s="67">
        <f>'Cash Flow Statement'!G36</f>
        <v>-373</v>
      </c>
      <c r="H73" s="67">
        <f>'Cash Flow Statement'!H36</f>
        <v>-406</v>
      </c>
      <c r="I73" s="67">
        <f>'Cash Flow Statement'!I36</f>
        <v>-407</v>
      </c>
      <c r="J73" s="67">
        <f>'Cash Flow Statement'!J36</f>
        <v>-467</v>
      </c>
      <c r="K73" s="67">
        <f>'Cash Flow Statement'!K36</f>
        <v>-423</v>
      </c>
      <c r="L73" s="67">
        <f>'Cash Flow Statement'!L36</f>
        <v>-498</v>
      </c>
    </row>
    <row r="74" spans="2:12" ht="14.25" customHeight="1" x14ac:dyDescent="0.3">
      <c r="B74" s="8" t="s">
        <v>78</v>
      </c>
      <c r="C74" s="67">
        <f>'Cash Flow Statement'!C37</f>
        <v>-685</v>
      </c>
      <c r="D74" s="67">
        <f>'Cash Flow Statement'!D37</f>
        <v>-728</v>
      </c>
      <c r="E74" s="67">
        <f>'Cash Flow Statement'!E37</f>
        <v>-781</v>
      </c>
      <c r="F74" s="67">
        <f>'Cash Flow Statement'!F37</f>
        <v>-928</v>
      </c>
      <c r="G74" s="67">
        <f>'Cash Flow Statement'!G37</f>
        <v>-1061</v>
      </c>
      <c r="H74" s="67">
        <f>'Cash Flow Statement'!H37</f>
        <v>0</v>
      </c>
      <c r="I74" s="67">
        <f>'Cash Flow Statement'!I37</f>
        <v>0</v>
      </c>
      <c r="J74" s="67">
        <f>'Cash Flow Statement'!J37</f>
        <v>-2</v>
      </c>
      <c r="K74" s="67">
        <f>'Cash Flow Statement'!K37</f>
        <v>0</v>
      </c>
      <c r="L74" s="67">
        <f>'Cash Flow Statement'!L37</f>
        <v>0</v>
      </c>
    </row>
    <row r="75" spans="2:12" ht="15" customHeight="1" x14ac:dyDescent="0.3">
      <c r="B75" s="72" t="s">
        <v>142</v>
      </c>
      <c r="C75" s="73">
        <f t="shared" ref="C75:L75" si="3">SUM(C68:C74)</f>
        <v>-3864</v>
      </c>
      <c r="D75" s="73">
        <f t="shared" si="3"/>
        <v>-4214</v>
      </c>
      <c r="E75" s="73">
        <f t="shared" si="3"/>
        <v>-4975</v>
      </c>
      <c r="F75" s="73">
        <f t="shared" si="3"/>
        <v>-5390</v>
      </c>
      <c r="G75" s="73">
        <f t="shared" si="3"/>
        <v>-6819</v>
      </c>
      <c r="H75" s="73">
        <f t="shared" si="3"/>
        <v>-9309</v>
      </c>
      <c r="I75" s="73">
        <f t="shared" si="3"/>
        <v>-8015</v>
      </c>
      <c r="J75" s="73">
        <f t="shared" si="3"/>
        <v>-8953</v>
      </c>
      <c r="K75" s="73">
        <f t="shared" si="3"/>
        <v>-10034</v>
      </c>
      <c r="L75" s="73">
        <f t="shared" si="3"/>
        <v>-13101</v>
      </c>
    </row>
    <row r="76" spans="2:12" ht="15" customHeight="1" x14ac:dyDescent="0.3">
      <c r="C76" s="56"/>
      <c r="D76" s="56"/>
      <c r="E76" s="56"/>
      <c r="F76" s="56"/>
      <c r="G76" s="56"/>
      <c r="H76" s="56"/>
      <c r="I76" s="56"/>
      <c r="J76" s="56"/>
      <c r="K76" s="56"/>
      <c r="L76" s="56"/>
    </row>
    <row r="77" spans="2:12" ht="15" customHeight="1" x14ac:dyDescent="0.3">
      <c r="B77" s="74" t="s">
        <v>80</v>
      </c>
      <c r="C77" s="75">
        <f t="shared" ref="C77:L77" si="4">C53+C66+C75</f>
        <v>-1704</v>
      </c>
      <c r="D77" s="75">
        <f t="shared" si="4"/>
        <v>-4462</v>
      </c>
      <c r="E77" s="75">
        <f t="shared" si="4"/>
        <v>-4005</v>
      </c>
      <c r="F77" s="75">
        <f t="shared" si="4"/>
        <v>-3769</v>
      </c>
      <c r="G77" s="75">
        <f t="shared" si="4"/>
        <v>-2322</v>
      </c>
      <c r="H77" s="75">
        <f t="shared" si="4"/>
        <v>-7060</v>
      </c>
      <c r="I77" s="75">
        <f t="shared" si="4"/>
        <v>-11551</v>
      </c>
      <c r="J77" s="75">
        <f t="shared" si="4"/>
        <v>-7015</v>
      </c>
      <c r="K77" s="75">
        <f t="shared" si="4"/>
        <v>-9244</v>
      </c>
      <c r="L77" s="75">
        <f t="shared" si="4"/>
        <v>-514</v>
      </c>
    </row>
    <row r="78" spans="2:12" ht="15" customHeight="1" x14ac:dyDescent="0.3"/>
  </sheetData>
  <mergeCells count="1">
    <mergeCell ref="B1:M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6"/>
  <sheetViews>
    <sheetView showGridLines="0" zoomScaleNormal="100" workbookViewId="0">
      <pane ySplit="3" topLeftCell="A4" activePane="bottomLeft" state="frozen"/>
      <selection pane="bottomLeft" activeCell="D7" sqref="D7"/>
    </sheetView>
  </sheetViews>
  <sheetFormatPr defaultColWidth="13.21875" defaultRowHeight="14.4" x14ac:dyDescent="0.3"/>
  <cols>
    <col min="1" max="1" width="2.33203125" style="8" customWidth="1"/>
    <col min="2" max="2" width="28" style="8" customWidth="1"/>
  </cols>
  <sheetData>
    <row r="2" spans="1:14" ht="14.25" customHeight="1" x14ac:dyDescent="0.3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4" ht="14.25" customHeight="1" x14ac:dyDescent="0.3">
      <c r="B3" s="9" t="s">
        <v>1</v>
      </c>
      <c r="C3" s="10">
        <f>'Cash Flow Statement'!C3</f>
        <v>42430</v>
      </c>
      <c r="D3" s="10">
        <f>'Cash Flow Statement'!D3</f>
        <v>42795</v>
      </c>
      <c r="E3" s="10">
        <f>'Cash Flow Statement'!E3</f>
        <v>43160</v>
      </c>
      <c r="F3" s="10">
        <f>'Cash Flow Statement'!F3</f>
        <v>43525</v>
      </c>
      <c r="G3" s="10">
        <f>'Cash Flow Statement'!G3</f>
        <v>43891</v>
      </c>
      <c r="H3" s="10">
        <f>'Cash Flow Statement'!H3</f>
        <v>44256</v>
      </c>
      <c r="I3" s="10">
        <f>'Cash Flow Statement'!I3</f>
        <v>44621</v>
      </c>
      <c r="J3" s="10">
        <f>'Cash Flow Statement'!J3</f>
        <v>44986</v>
      </c>
      <c r="K3" s="10">
        <f>'Cash Flow Statement'!K3</f>
        <v>45352</v>
      </c>
      <c r="L3" s="10">
        <f>'Cash Flow Statement'!L3</f>
        <v>45717</v>
      </c>
      <c r="M3" s="11" t="s">
        <v>2</v>
      </c>
    </row>
    <row r="4" spans="1:14" ht="14.25" customHeight="1" x14ac:dyDescent="0.3"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</row>
    <row r="5" spans="1:14" ht="14.25" customHeight="1" x14ac:dyDescent="0.3">
      <c r="A5" s="8" t="s">
        <v>3</v>
      </c>
      <c r="B5" s="15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7"/>
    </row>
    <row r="6" spans="1:14" ht="14.25" customHeight="1" x14ac:dyDescent="0.3">
      <c r="B6" s="8" t="s">
        <v>5</v>
      </c>
      <c r="C6" s="18">
        <f>'Data Sheet'!B17</f>
        <v>32186</v>
      </c>
      <c r="D6" s="18">
        <f>'Data Sheet'!C17</f>
        <v>33162</v>
      </c>
      <c r="E6" s="18">
        <f>'Data Sheet'!D17</f>
        <v>35545</v>
      </c>
      <c r="F6" s="18">
        <f>'Data Sheet'!E17</f>
        <v>39310</v>
      </c>
      <c r="G6" s="18">
        <f>'Data Sheet'!F17</f>
        <v>39783</v>
      </c>
      <c r="H6" s="18">
        <f>'Data Sheet'!G17</f>
        <v>47028</v>
      </c>
      <c r="I6" s="18">
        <f>'Data Sheet'!H17</f>
        <v>52446</v>
      </c>
      <c r="J6" s="18">
        <f>'Data Sheet'!I17</f>
        <v>60580</v>
      </c>
      <c r="K6" s="18">
        <f>'Data Sheet'!J17</f>
        <v>61896</v>
      </c>
      <c r="L6" s="18">
        <f>'Data Sheet'!K17</f>
        <v>63121</v>
      </c>
      <c r="M6" s="18">
        <f>IFERROR(SUM(C6:L6),0)</f>
        <v>465057</v>
      </c>
    </row>
    <row r="7" spans="1:14" ht="14.25" customHeight="1" x14ac:dyDescent="0.3">
      <c r="B7" s="19" t="s">
        <v>6</v>
      </c>
      <c r="C7" s="19"/>
      <c r="D7" s="20">
        <f t="shared" ref="D7:M7" si="0">D6/C6-1</f>
        <v>3.03237432424035E-2</v>
      </c>
      <c r="E7" s="20">
        <f t="shared" si="0"/>
        <v>7.1859357095470644E-2</v>
      </c>
      <c r="F7" s="20">
        <f t="shared" si="0"/>
        <v>0.1059220706147137</v>
      </c>
      <c r="G7" s="20">
        <f t="shared" si="0"/>
        <v>1.2032561689137689E-2</v>
      </c>
      <c r="H7" s="20">
        <f t="shared" si="0"/>
        <v>0.18211296282331646</v>
      </c>
      <c r="I7" s="20">
        <f t="shared" si="0"/>
        <v>0.11520796121459553</v>
      </c>
      <c r="J7" s="20">
        <f t="shared" si="0"/>
        <v>0.15509285741524614</v>
      </c>
      <c r="K7" s="20">
        <f t="shared" si="0"/>
        <v>2.1723341036645749E-2</v>
      </c>
      <c r="L7" s="20">
        <f t="shared" si="0"/>
        <v>1.9791262763344974E-2</v>
      </c>
      <c r="M7" s="20">
        <f t="shared" si="0"/>
        <v>6.3677064685286986</v>
      </c>
    </row>
    <row r="9" spans="1:14" ht="14.25" customHeight="1" x14ac:dyDescent="0.3">
      <c r="B9" s="8" t="s">
        <v>7</v>
      </c>
      <c r="C9" s="18">
        <f>IFERROR(SUM('Data Sheet'!B18,'Data Sheet'!B20:B22),0)</f>
        <v>18139</v>
      </c>
      <c r="D9" s="18">
        <f>IFERROR(SUM('Data Sheet'!C18,'Data Sheet'!C20,'Data Sheet'!C21,'Data Sheet'!C22),0)</f>
        <v>18531</v>
      </c>
      <c r="E9" s="18">
        <f>IFERROR(SUM('Data Sheet'!D18,'Data Sheet'!D20,'Data Sheet'!D21,'Data Sheet'!D22),0)</f>
        <v>19386</v>
      </c>
      <c r="F9" s="18">
        <f>IFERROR(SUM('Data Sheet'!E18,'Data Sheet'!E20,'Data Sheet'!E21,'Data Sheet'!E22),0)</f>
        <v>21069</v>
      </c>
      <c r="G9" s="18">
        <f>IFERROR(SUM('Data Sheet'!F18,'Data Sheet'!F20,'Data Sheet'!F21,'Data Sheet'!F22),0)</f>
        <v>20722</v>
      </c>
      <c r="H9" s="18">
        <f>IFERROR(SUM('Data Sheet'!G18,'Data Sheet'!G20,'Data Sheet'!G21,'Data Sheet'!G22),0)</f>
        <v>25706</v>
      </c>
      <c r="I9" s="18">
        <f>IFERROR(SUM('Data Sheet'!H18,'Data Sheet'!H20,'Data Sheet'!H21,'Data Sheet'!H22),0)</f>
        <v>29088</v>
      </c>
      <c r="J9" s="18">
        <f>IFERROR(SUM('Data Sheet'!I18,'Data Sheet'!I20,'Data Sheet'!I21,'Data Sheet'!I22),0)</f>
        <v>35456</v>
      </c>
      <c r="K9" s="18">
        <f>IFERROR(SUM('Data Sheet'!J18,'Data Sheet'!J20,'Data Sheet'!J21,'Data Sheet'!J22),0)</f>
        <v>33662</v>
      </c>
      <c r="L9" s="18">
        <f>IFERROR(SUM('Data Sheet'!K18,'Data Sheet'!K20,'Data Sheet'!K21,'Data Sheet'!K22),0)</f>
        <v>34682</v>
      </c>
      <c r="M9" s="18">
        <f>IFERROR(SUM(C9:L9),0)</f>
        <v>256441</v>
      </c>
    </row>
    <row r="10" spans="1:14" ht="14.25" customHeight="1" x14ac:dyDescent="0.3">
      <c r="B10" s="19" t="s">
        <v>8</v>
      </c>
      <c r="C10" s="20">
        <f t="shared" ref="C10:M10" si="1">C9/C6</f>
        <v>0.56356801093643194</v>
      </c>
      <c r="D10" s="20">
        <f t="shared" si="1"/>
        <v>0.55880224353175323</v>
      </c>
      <c r="E10" s="20">
        <f t="shared" si="1"/>
        <v>0.54539316359544243</v>
      </c>
      <c r="F10" s="20">
        <f t="shared" si="1"/>
        <v>0.535970490969219</v>
      </c>
      <c r="G10" s="20">
        <f t="shared" si="1"/>
        <v>0.52087575094889782</v>
      </c>
      <c r="H10" s="20">
        <f t="shared" si="1"/>
        <v>0.54661052989708259</v>
      </c>
      <c r="I10" s="20">
        <f t="shared" si="1"/>
        <v>0.55462761697746255</v>
      </c>
      <c r="J10" s="20">
        <f t="shared" si="1"/>
        <v>0.58527566853747115</v>
      </c>
      <c r="K10" s="20">
        <f t="shared" si="1"/>
        <v>0.54384774460385166</v>
      </c>
      <c r="L10" s="20">
        <f t="shared" si="1"/>
        <v>0.54945263858303894</v>
      </c>
      <c r="M10" s="20">
        <f t="shared" si="1"/>
        <v>0.55141842827868415</v>
      </c>
      <c r="N10" s="19"/>
    </row>
    <row r="12" spans="1:14" ht="14.25" customHeight="1" x14ac:dyDescent="0.3">
      <c r="B12" s="8" t="s">
        <v>9</v>
      </c>
      <c r="C12" s="18">
        <f t="shared" ref="C12:L12" si="2">C6-C9</f>
        <v>14047</v>
      </c>
      <c r="D12" s="18">
        <f t="shared" si="2"/>
        <v>14631</v>
      </c>
      <c r="E12" s="18">
        <f t="shared" si="2"/>
        <v>16159</v>
      </c>
      <c r="F12" s="18">
        <f t="shared" si="2"/>
        <v>18241</v>
      </c>
      <c r="G12" s="18">
        <f t="shared" si="2"/>
        <v>19061</v>
      </c>
      <c r="H12" s="18">
        <f t="shared" si="2"/>
        <v>21322</v>
      </c>
      <c r="I12" s="18">
        <f t="shared" si="2"/>
        <v>23358</v>
      </c>
      <c r="J12" s="18">
        <f t="shared" si="2"/>
        <v>25124</v>
      </c>
      <c r="K12" s="18">
        <f t="shared" si="2"/>
        <v>28234</v>
      </c>
      <c r="L12" s="18">
        <f t="shared" si="2"/>
        <v>28439</v>
      </c>
      <c r="M12" s="18">
        <f>IFERROR(SUM(C12:L12),0)</f>
        <v>208616</v>
      </c>
    </row>
    <row r="13" spans="1:14" ht="14.25" customHeight="1" x14ac:dyDescent="0.3">
      <c r="B13" s="19" t="s">
        <v>10</v>
      </c>
      <c r="C13" s="20">
        <f t="shared" ref="C13:M13" si="3">C12/C6</f>
        <v>0.436431989063568</v>
      </c>
      <c r="D13" s="20">
        <f t="shared" si="3"/>
        <v>0.44119775646824677</v>
      </c>
      <c r="E13" s="20">
        <f t="shared" si="3"/>
        <v>0.45460683640455762</v>
      </c>
      <c r="F13" s="20">
        <f t="shared" si="3"/>
        <v>0.464029509030781</v>
      </c>
      <c r="G13" s="20">
        <f t="shared" si="3"/>
        <v>0.47912424905110224</v>
      </c>
      <c r="H13" s="20">
        <f t="shared" si="3"/>
        <v>0.45338947010291741</v>
      </c>
      <c r="I13" s="20">
        <f t="shared" si="3"/>
        <v>0.44537238302253745</v>
      </c>
      <c r="J13" s="20">
        <f t="shared" si="3"/>
        <v>0.41472433146252891</v>
      </c>
      <c r="K13" s="20">
        <f t="shared" si="3"/>
        <v>0.4561522553961484</v>
      </c>
      <c r="L13" s="20">
        <f t="shared" si="3"/>
        <v>0.45054736141696106</v>
      </c>
      <c r="M13" s="20">
        <f t="shared" si="3"/>
        <v>0.44858157172131591</v>
      </c>
    </row>
    <row r="15" spans="1:14" ht="14.25" customHeight="1" x14ac:dyDescent="0.3">
      <c r="B15" s="8" t="s">
        <v>11</v>
      </c>
      <c r="C15" s="18">
        <f>IFERROR(SUM('Data Sheet'!B23:B24),0)</f>
        <v>8054</v>
      </c>
      <c r="D15" s="18">
        <f>IFERROR(SUM('Data Sheet'!C23:C24),0)</f>
        <v>8159</v>
      </c>
      <c r="E15" s="18">
        <f>IFERROR(SUM('Data Sheet'!D23:D24),0)</f>
        <v>8732</v>
      </c>
      <c r="F15" s="18">
        <f>IFERROR(SUM('Data Sheet'!E23:E24),0)</f>
        <v>9349</v>
      </c>
      <c r="G15" s="18">
        <f>IFERROR(SUM('Data Sheet'!F23:F24),0)</f>
        <v>9308</v>
      </c>
      <c r="H15" s="18">
        <f>IFERROR(SUM('Data Sheet'!G23:G24),0)</f>
        <v>10101</v>
      </c>
      <c r="I15" s="18">
        <f>IFERROR(SUM('Data Sheet'!H23:H24),0)</f>
        <v>10523</v>
      </c>
      <c r="J15" s="18">
        <f>IFERROR(SUM('Data Sheet'!I23:I24),0)</f>
        <v>11052</v>
      </c>
      <c r="K15" s="18">
        <f>IFERROR(SUM('Data Sheet'!J23:J24),0)</f>
        <v>13586</v>
      </c>
      <c r="L15" s="18">
        <f>IFERROR(SUM('Data Sheet'!K23:K24),0)</f>
        <v>13749</v>
      </c>
      <c r="M15" s="18">
        <f>IFERROR(SUM(C15:L15),0)</f>
        <v>102613</v>
      </c>
    </row>
    <row r="16" spans="1:14" ht="14.25" customHeight="1" x14ac:dyDescent="0.3">
      <c r="B16" s="19" t="s">
        <v>12</v>
      </c>
      <c r="C16" s="20">
        <f t="shared" ref="C16:M16" si="4">C15/C6</f>
        <v>0.25023302056794877</v>
      </c>
      <c r="D16" s="20">
        <f t="shared" si="4"/>
        <v>0.24603461793619202</v>
      </c>
      <c r="E16" s="20">
        <f t="shared" si="4"/>
        <v>0.24566043044028696</v>
      </c>
      <c r="F16" s="20">
        <f t="shared" si="4"/>
        <v>0.23782752480284916</v>
      </c>
      <c r="G16" s="20">
        <f t="shared" si="4"/>
        <v>0.23396928336224015</v>
      </c>
      <c r="H16" s="20">
        <f t="shared" si="4"/>
        <v>0.21478693544271499</v>
      </c>
      <c r="I16" s="20">
        <f t="shared" si="4"/>
        <v>0.20064447240971667</v>
      </c>
      <c r="J16" s="20">
        <f t="shared" si="4"/>
        <v>0.18243644767249917</v>
      </c>
      <c r="K16" s="20">
        <f t="shared" si="4"/>
        <v>0.21949722114514669</v>
      </c>
      <c r="L16" s="20">
        <f t="shared" si="4"/>
        <v>0.21781974303322191</v>
      </c>
      <c r="M16" s="20">
        <f t="shared" si="4"/>
        <v>0.22064607134179251</v>
      </c>
    </row>
    <row r="18" spans="2:13" ht="14.25" customHeight="1" x14ac:dyDescent="0.3">
      <c r="B18" s="8" t="s">
        <v>13</v>
      </c>
      <c r="C18" s="21">
        <f t="shared" ref="C18:M18" si="5">C12-C15</f>
        <v>5993</v>
      </c>
      <c r="D18" s="21">
        <f t="shared" si="5"/>
        <v>6472</v>
      </c>
      <c r="E18" s="21">
        <f t="shared" si="5"/>
        <v>7427</v>
      </c>
      <c r="F18" s="21">
        <f t="shared" si="5"/>
        <v>8892</v>
      </c>
      <c r="G18" s="21">
        <f t="shared" si="5"/>
        <v>9753</v>
      </c>
      <c r="H18" s="21">
        <f t="shared" si="5"/>
        <v>11221</v>
      </c>
      <c r="I18" s="21">
        <f t="shared" si="5"/>
        <v>12835</v>
      </c>
      <c r="J18" s="21">
        <f t="shared" si="5"/>
        <v>14072</v>
      </c>
      <c r="K18" s="21">
        <f t="shared" si="5"/>
        <v>14648</v>
      </c>
      <c r="L18" s="21">
        <f t="shared" si="5"/>
        <v>14690</v>
      </c>
      <c r="M18" s="21">
        <f t="shared" si="5"/>
        <v>106003</v>
      </c>
    </row>
    <row r="19" spans="2:13" ht="14.25" customHeight="1" x14ac:dyDescent="0.3">
      <c r="B19" s="19" t="s">
        <v>14</v>
      </c>
      <c r="C19" s="20">
        <f t="shared" ref="C19:M19" si="6">C18/C6</f>
        <v>0.1861989684956192</v>
      </c>
      <c r="D19" s="20">
        <f t="shared" si="6"/>
        <v>0.19516313853205478</v>
      </c>
      <c r="E19" s="20">
        <f t="shared" si="6"/>
        <v>0.20894640596427064</v>
      </c>
      <c r="F19" s="20">
        <f t="shared" si="6"/>
        <v>0.22620198422793183</v>
      </c>
      <c r="G19" s="20">
        <f t="shared" si="6"/>
        <v>0.24515496568886208</v>
      </c>
      <c r="H19" s="20">
        <f t="shared" si="6"/>
        <v>0.23860253466020243</v>
      </c>
      <c r="I19" s="20">
        <f t="shared" si="6"/>
        <v>0.24472791061282081</v>
      </c>
      <c r="J19" s="20">
        <f t="shared" si="6"/>
        <v>0.23228788379002971</v>
      </c>
      <c r="K19" s="20">
        <f t="shared" si="6"/>
        <v>0.23665503425100168</v>
      </c>
      <c r="L19" s="20">
        <f t="shared" si="6"/>
        <v>0.23272761838373918</v>
      </c>
      <c r="M19" s="20">
        <f t="shared" si="6"/>
        <v>0.22793550037952337</v>
      </c>
    </row>
    <row r="21" spans="2:13" ht="14.25" customHeight="1" x14ac:dyDescent="0.3">
      <c r="B21" s="8" t="s">
        <v>15</v>
      </c>
      <c r="C21" s="21">
        <f>IFERROR('Data Sheet'!B27,0)</f>
        <v>17</v>
      </c>
      <c r="D21" s="21">
        <f>IFERROR('Data Sheet'!C27,0)</f>
        <v>35</v>
      </c>
      <c r="E21" s="21">
        <f>IFERROR('Data Sheet'!D27,0)</f>
        <v>26</v>
      </c>
      <c r="F21" s="21">
        <f>IFERROR('Data Sheet'!E27,0)</f>
        <v>33</v>
      </c>
      <c r="G21" s="21">
        <f>IFERROR('Data Sheet'!F27,0)</f>
        <v>118</v>
      </c>
      <c r="H21" s="21">
        <f>IFERROR('Data Sheet'!G27,0)</f>
        <v>117</v>
      </c>
      <c r="I21" s="21">
        <f>IFERROR('Data Sheet'!H27,0)</f>
        <v>106</v>
      </c>
      <c r="J21" s="21">
        <f>IFERROR('Data Sheet'!I27,0)</f>
        <v>114</v>
      </c>
      <c r="K21" s="21">
        <f>IFERROR('Data Sheet'!J27,0)</f>
        <v>334</v>
      </c>
      <c r="L21" s="21">
        <f>IFERROR('Data Sheet'!K27,0)</f>
        <v>395</v>
      </c>
      <c r="M21" s="18">
        <f>IFERROR(SUM(C21:L21),0)</f>
        <v>1295</v>
      </c>
    </row>
    <row r="22" spans="2:13" ht="14.25" customHeight="1" x14ac:dyDescent="0.3">
      <c r="B22" s="19" t="s">
        <v>16</v>
      </c>
      <c r="C22" s="20">
        <f t="shared" ref="C22:M22" si="7">C21/C6</f>
        <v>5.2817995401727462E-4</v>
      </c>
      <c r="D22" s="20">
        <f t="shared" si="7"/>
        <v>1.0554248839032628E-3</v>
      </c>
      <c r="E22" s="20">
        <f t="shared" si="7"/>
        <v>7.3146715431143621E-4</v>
      </c>
      <c r="F22" s="20">
        <f t="shared" si="7"/>
        <v>8.3948104807936915E-4</v>
      </c>
      <c r="G22" s="20">
        <f t="shared" si="7"/>
        <v>2.9660910439132291E-3</v>
      </c>
      <c r="H22" s="20">
        <f t="shared" si="7"/>
        <v>2.4878795611125285E-3</v>
      </c>
      <c r="I22" s="20">
        <f t="shared" si="7"/>
        <v>2.0211264920108303E-3</v>
      </c>
      <c r="J22" s="20">
        <f t="shared" si="7"/>
        <v>1.881809177946517E-3</v>
      </c>
      <c r="K22" s="20">
        <f t="shared" si="7"/>
        <v>5.3961483779242604E-3</v>
      </c>
      <c r="L22" s="20">
        <f t="shared" si="7"/>
        <v>6.2578222778473091E-3</v>
      </c>
      <c r="M22" s="20">
        <f t="shared" si="7"/>
        <v>2.7846048978942368E-3</v>
      </c>
    </row>
    <row r="24" spans="2:13" ht="14.25" customHeight="1" x14ac:dyDescent="0.3">
      <c r="B24" s="8" t="s">
        <v>17</v>
      </c>
      <c r="C24" s="21">
        <f>IFERROR('Data Sheet'!B26,0)</f>
        <v>353</v>
      </c>
      <c r="D24" s="21">
        <f>IFERROR('Data Sheet'!C26,0)</f>
        <v>432</v>
      </c>
      <c r="E24" s="21">
        <f>IFERROR('Data Sheet'!D26,0)</f>
        <v>520</v>
      </c>
      <c r="F24" s="21">
        <f>IFERROR('Data Sheet'!E26,0)</f>
        <v>565</v>
      </c>
      <c r="G24" s="21">
        <f>IFERROR('Data Sheet'!F26,0)</f>
        <v>1002</v>
      </c>
      <c r="H24" s="21">
        <f>IFERROR('Data Sheet'!G26,0)</f>
        <v>1074</v>
      </c>
      <c r="I24" s="21">
        <f>IFERROR('Data Sheet'!H26,0)</f>
        <v>1091</v>
      </c>
      <c r="J24" s="21">
        <f>IFERROR('Data Sheet'!I26,0)</f>
        <v>1137</v>
      </c>
      <c r="K24" s="21">
        <f>IFERROR('Data Sheet'!J26,0)</f>
        <v>1216</v>
      </c>
      <c r="L24" s="21">
        <f>IFERROR('Data Sheet'!K26,0)</f>
        <v>1355</v>
      </c>
      <c r="M24" s="18">
        <f>IFERROR(SUM(C24:L24),0)</f>
        <v>8745</v>
      </c>
    </row>
    <row r="25" spans="2:13" ht="14.25" customHeight="1" x14ac:dyDescent="0.3">
      <c r="B25" s="19" t="s">
        <v>18</v>
      </c>
      <c r="C25" s="20">
        <f t="shared" ref="C25:M25" si="8">C24/C6</f>
        <v>1.0967501398123409E-2</v>
      </c>
      <c r="D25" s="20">
        <f t="shared" si="8"/>
        <v>1.3026958567034558E-2</v>
      </c>
      <c r="E25" s="20">
        <f t="shared" si="8"/>
        <v>1.4629343086228723E-2</v>
      </c>
      <c r="F25" s="20">
        <f t="shared" si="8"/>
        <v>1.437293309590435E-2</v>
      </c>
      <c r="G25" s="20">
        <f t="shared" si="8"/>
        <v>2.5186637508483524E-2</v>
      </c>
      <c r="H25" s="20">
        <f t="shared" si="8"/>
        <v>2.2837458535340648E-2</v>
      </c>
      <c r="I25" s="20">
        <f t="shared" si="8"/>
        <v>2.0802349082866187E-2</v>
      </c>
      <c r="J25" s="20">
        <f t="shared" si="8"/>
        <v>1.8768570485308684E-2</v>
      </c>
      <c r="K25" s="20">
        <f t="shared" si="8"/>
        <v>1.9645857567532635E-2</v>
      </c>
      <c r="L25" s="20">
        <f t="shared" si="8"/>
        <v>2.1466706801223048E-2</v>
      </c>
      <c r="M25" s="20">
        <f t="shared" si="8"/>
        <v>1.8804146588482701E-2</v>
      </c>
    </row>
    <row r="27" spans="2:13" ht="14.25" customHeight="1" x14ac:dyDescent="0.3">
      <c r="B27" s="8" t="s">
        <v>19</v>
      </c>
      <c r="C27" s="21">
        <f t="shared" ref="C27:M27" si="9">IFERROR(C18-SUM(C21,C24),0)</f>
        <v>5623</v>
      </c>
      <c r="D27" s="21">
        <f t="shared" si="9"/>
        <v>6005</v>
      </c>
      <c r="E27" s="21">
        <f t="shared" si="9"/>
        <v>6881</v>
      </c>
      <c r="F27" s="21">
        <f t="shared" si="9"/>
        <v>8294</v>
      </c>
      <c r="G27" s="21">
        <f t="shared" si="9"/>
        <v>8633</v>
      </c>
      <c r="H27" s="21">
        <f t="shared" si="9"/>
        <v>10030</v>
      </c>
      <c r="I27" s="21">
        <f t="shared" si="9"/>
        <v>11638</v>
      </c>
      <c r="J27" s="21">
        <f t="shared" si="9"/>
        <v>12821</v>
      </c>
      <c r="K27" s="21">
        <f t="shared" si="9"/>
        <v>13098</v>
      </c>
      <c r="L27" s="21">
        <f t="shared" si="9"/>
        <v>12940</v>
      </c>
      <c r="M27" s="21">
        <f t="shared" si="9"/>
        <v>95963</v>
      </c>
    </row>
    <row r="28" spans="2:13" ht="14.25" customHeight="1" x14ac:dyDescent="0.3">
      <c r="B28" s="19" t="s">
        <v>20</v>
      </c>
      <c r="C28" s="20">
        <f t="shared" ref="C28:M28" si="10">C27/C6</f>
        <v>0.17470328714347852</v>
      </c>
      <c r="D28" s="20">
        <f t="shared" si="10"/>
        <v>0.18108075508111693</v>
      </c>
      <c r="E28" s="20">
        <f t="shared" si="10"/>
        <v>0.19358559572373049</v>
      </c>
      <c r="F28" s="20">
        <f t="shared" si="10"/>
        <v>0.21098957008394811</v>
      </c>
      <c r="G28" s="20">
        <f t="shared" si="10"/>
        <v>0.21700223713646533</v>
      </c>
      <c r="H28" s="20">
        <f t="shared" si="10"/>
        <v>0.21327719656374924</v>
      </c>
      <c r="I28" s="20">
        <f t="shared" si="10"/>
        <v>0.2219044350379438</v>
      </c>
      <c r="J28" s="20">
        <f t="shared" si="10"/>
        <v>0.21163750412677451</v>
      </c>
      <c r="K28" s="20">
        <f t="shared" si="10"/>
        <v>0.21161302830554479</v>
      </c>
      <c r="L28" s="20">
        <f t="shared" si="10"/>
        <v>0.20500308930466882</v>
      </c>
      <c r="M28" s="20">
        <f t="shared" si="10"/>
        <v>0.20634674889314644</v>
      </c>
    </row>
    <row r="29" spans="2:13" ht="14.25" customHeight="1" x14ac:dyDescent="0.3">
      <c r="D29" s="22"/>
      <c r="E29" s="22"/>
    </row>
    <row r="30" spans="2:13" ht="14.25" customHeight="1" x14ac:dyDescent="0.3">
      <c r="B30" s="8" t="s">
        <v>21</v>
      </c>
      <c r="C30" s="21">
        <f>IFERROR('Data Sheet'!B29,0)</f>
        <v>1875</v>
      </c>
      <c r="D30" s="21">
        <f>IFERROR('Data Sheet'!C29,0)</f>
        <v>1977</v>
      </c>
      <c r="E30" s="21">
        <f>IFERROR('Data Sheet'!D29,0)</f>
        <v>2079</v>
      </c>
      <c r="F30" s="21">
        <f>IFERROR('Data Sheet'!E29,0)</f>
        <v>2544</v>
      </c>
      <c r="G30" s="21">
        <f>IFERROR('Data Sheet'!F29,0)</f>
        <v>2409</v>
      </c>
      <c r="H30" s="21">
        <f>IFERROR('Data Sheet'!G29,0)</f>
        <v>2606</v>
      </c>
      <c r="I30" s="21">
        <f>IFERROR('Data Sheet'!H29,0)</f>
        <v>2987</v>
      </c>
      <c r="J30" s="21">
        <f>IFERROR('Data Sheet'!I29,0)</f>
        <v>3201</v>
      </c>
      <c r="K30" s="21">
        <f>IFERROR('Data Sheet'!J29,0)</f>
        <v>3644</v>
      </c>
      <c r="L30" s="21">
        <f>IFERROR('Data Sheet'!K29,0)</f>
        <v>3744</v>
      </c>
      <c r="M30" s="21">
        <f>IFERROR(SUM(C30:L30),0)</f>
        <v>27066</v>
      </c>
    </row>
    <row r="31" spans="2:13" ht="14.25" customHeight="1" x14ac:dyDescent="0.3">
      <c r="B31" s="19" t="s">
        <v>22</v>
      </c>
      <c r="C31" s="20">
        <f t="shared" ref="C31:M31" si="11">C30/C27</f>
        <v>0.33345189400675795</v>
      </c>
      <c r="D31" s="20">
        <f t="shared" si="11"/>
        <v>0.32922564529558701</v>
      </c>
      <c r="E31" s="20">
        <f t="shared" si="11"/>
        <v>0.30213631739572738</v>
      </c>
      <c r="F31" s="20">
        <f t="shared" si="11"/>
        <v>0.3067277550036171</v>
      </c>
      <c r="G31" s="20">
        <f t="shared" si="11"/>
        <v>0.27904552299316576</v>
      </c>
      <c r="H31" s="20">
        <f t="shared" si="11"/>
        <v>0.25982053838484548</v>
      </c>
      <c r="I31" s="20">
        <f t="shared" si="11"/>
        <v>0.25665921979721601</v>
      </c>
      <c r="J31" s="20">
        <f t="shared" si="11"/>
        <v>0.24966851259652134</v>
      </c>
      <c r="K31" s="20">
        <f t="shared" si="11"/>
        <v>0.27821041380363415</v>
      </c>
      <c r="L31" s="20">
        <f t="shared" si="11"/>
        <v>0.28933539412673881</v>
      </c>
      <c r="M31" s="20">
        <f t="shared" si="11"/>
        <v>0.28204620530829588</v>
      </c>
    </row>
    <row r="33" spans="1:13" ht="14.25" customHeight="1" x14ac:dyDescent="0.3">
      <c r="B33" s="8" t="s">
        <v>23</v>
      </c>
      <c r="C33" s="21">
        <f t="shared" ref="C33:M33" si="12">C27-C30</f>
        <v>3748</v>
      </c>
      <c r="D33" s="21">
        <f t="shared" si="12"/>
        <v>4028</v>
      </c>
      <c r="E33" s="21">
        <f t="shared" si="12"/>
        <v>4802</v>
      </c>
      <c r="F33" s="21">
        <f t="shared" si="12"/>
        <v>5750</v>
      </c>
      <c r="G33" s="21">
        <f t="shared" si="12"/>
        <v>6224</v>
      </c>
      <c r="H33" s="21">
        <f t="shared" si="12"/>
        <v>7424</v>
      </c>
      <c r="I33" s="21">
        <f t="shared" si="12"/>
        <v>8651</v>
      </c>
      <c r="J33" s="21">
        <f t="shared" si="12"/>
        <v>9620</v>
      </c>
      <c r="K33" s="21">
        <f t="shared" si="12"/>
        <v>9454</v>
      </c>
      <c r="L33" s="21">
        <f t="shared" si="12"/>
        <v>9196</v>
      </c>
      <c r="M33" s="21">
        <f t="shared" si="12"/>
        <v>68897</v>
      </c>
    </row>
    <row r="34" spans="1:13" ht="14.25" customHeight="1" x14ac:dyDescent="0.3">
      <c r="B34" s="19" t="s">
        <v>24</v>
      </c>
      <c r="C34" s="20">
        <f t="shared" ref="C34:M34" si="13">C33/C6</f>
        <v>0.11644814515627913</v>
      </c>
      <c r="D34" s="20">
        <f t="shared" si="13"/>
        <v>0.12146432663892406</v>
      </c>
      <c r="E34" s="20">
        <f t="shared" si="13"/>
        <v>0.13509635673090448</v>
      </c>
      <c r="F34" s="20">
        <f t="shared" si="13"/>
        <v>0.14627321292292036</v>
      </c>
      <c r="G34" s="20">
        <f t="shared" si="13"/>
        <v>0.15644873438403339</v>
      </c>
      <c r="H34" s="20">
        <f t="shared" si="13"/>
        <v>0.1578634005273454</v>
      </c>
      <c r="I34" s="20">
        <f t="shared" si="13"/>
        <v>0.16495061587156312</v>
      </c>
      <c r="J34" s="20">
        <f t="shared" si="13"/>
        <v>0.15879828326180256</v>
      </c>
      <c r="K34" s="20">
        <f t="shared" si="13"/>
        <v>0.15274008013441903</v>
      </c>
      <c r="L34" s="20">
        <f t="shared" si="13"/>
        <v>0.14568843966350342</v>
      </c>
      <c r="M34" s="20">
        <f t="shared" si="13"/>
        <v>0.14814743139013067</v>
      </c>
    </row>
    <row r="37" spans="1:13" ht="14.25" customHeight="1" x14ac:dyDescent="0.3">
      <c r="B37" s="8" t="s">
        <v>25</v>
      </c>
      <c r="C37" s="23">
        <f>IFERROR('Data Sheet'!B93,0)</f>
        <v>216.39</v>
      </c>
      <c r="D37" s="23">
        <f>IFERROR('Data Sheet'!C93,0)</f>
        <v>216.43</v>
      </c>
      <c r="E37" s="23">
        <f>IFERROR('Data Sheet'!D93,0)</f>
        <v>216.45</v>
      </c>
      <c r="F37" s="23">
        <f>IFERROR('Data Sheet'!E93,0)</f>
        <v>216.47</v>
      </c>
      <c r="G37" s="23">
        <f>IFERROR('Data Sheet'!F93,0)</f>
        <v>216.48</v>
      </c>
      <c r="H37" s="23">
        <f>IFERROR('Data Sheet'!G93,0)</f>
        <v>234.96</v>
      </c>
      <c r="I37" s="23">
        <f>IFERROR('Data Sheet'!H93,0)</f>
        <v>234.96</v>
      </c>
      <c r="J37" s="23">
        <f>IFERROR('Data Sheet'!I93,0)</f>
        <v>234.96</v>
      </c>
      <c r="K37" s="23">
        <f>IFERROR('Data Sheet'!J93,0)</f>
        <v>234.96</v>
      </c>
      <c r="L37" s="23">
        <f>IFERROR('Data Sheet'!K93,0)</f>
        <v>234.96</v>
      </c>
      <c r="M37" s="21">
        <f>IFERROR(M31/M35,0)</f>
        <v>0</v>
      </c>
    </row>
    <row r="39" spans="1:13" ht="14.25" customHeight="1" x14ac:dyDescent="0.3">
      <c r="B39" s="8" t="s">
        <v>26</v>
      </c>
      <c r="C39" s="21">
        <f t="shared" ref="C39:M39" si="14">IFERROR(C33/C37,0)</f>
        <v>17.320578584962337</v>
      </c>
      <c r="D39" s="21">
        <f t="shared" si="14"/>
        <v>18.611098276579032</v>
      </c>
      <c r="E39" s="21">
        <f t="shared" si="14"/>
        <v>22.185262185262186</v>
      </c>
      <c r="F39" s="21">
        <f t="shared" si="14"/>
        <v>26.562572180902666</v>
      </c>
      <c r="G39" s="21">
        <f t="shared" si="14"/>
        <v>28.750923872875095</v>
      </c>
      <c r="H39" s="21">
        <f t="shared" si="14"/>
        <v>31.596867551923729</v>
      </c>
      <c r="I39" s="21">
        <f t="shared" si="14"/>
        <v>36.819033026898197</v>
      </c>
      <c r="J39" s="21">
        <f t="shared" si="14"/>
        <v>40.943139257745997</v>
      </c>
      <c r="K39" s="21">
        <f t="shared" si="14"/>
        <v>40.236636023152876</v>
      </c>
      <c r="L39" s="21">
        <f t="shared" si="14"/>
        <v>39.138576779026216</v>
      </c>
      <c r="M39" s="21">
        <f t="shared" si="14"/>
        <v>0</v>
      </c>
    </row>
    <row r="40" spans="1:13" ht="14.25" customHeight="1" x14ac:dyDescent="0.3">
      <c r="B40" s="19" t="s">
        <v>27</v>
      </c>
      <c r="C40" s="20"/>
      <c r="D40" s="20">
        <f t="shared" ref="D40:L40" si="15">IFERROR(D39-C39,0)</f>
        <v>1.2905196916166943</v>
      </c>
      <c r="E40" s="20">
        <f t="shared" si="15"/>
        <v>3.574163908683154</v>
      </c>
      <c r="F40" s="20">
        <f t="shared" si="15"/>
        <v>4.3773099956404806</v>
      </c>
      <c r="G40" s="20">
        <f t="shared" si="15"/>
        <v>2.1883516919724286</v>
      </c>
      <c r="H40" s="20">
        <f t="shared" si="15"/>
        <v>2.8459436790486343</v>
      </c>
      <c r="I40" s="20">
        <f t="shared" si="15"/>
        <v>5.2221654749744673</v>
      </c>
      <c r="J40" s="20">
        <f t="shared" si="15"/>
        <v>4.1241062308478007</v>
      </c>
      <c r="K40" s="20">
        <f t="shared" si="15"/>
        <v>-0.70650323459312148</v>
      </c>
      <c r="L40" s="20">
        <f t="shared" si="15"/>
        <v>-1.0980592441266595</v>
      </c>
      <c r="M40" s="20"/>
    </row>
    <row r="42" spans="1:13" ht="14.25" customHeight="1" x14ac:dyDescent="0.3">
      <c r="B42" s="8" t="s">
        <v>28</v>
      </c>
      <c r="C42" s="21">
        <f>IFERROR('Data Sheet'!B31/HistoricalFS!C39,0)</f>
        <v>199.53144076840979</v>
      </c>
      <c r="D42" s="21">
        <f>IFERROR('Data Sheet'!C31/HistoricalFS!D39,0)</f>
        <v>197.3016285998014</v>
      </c>
      <c r="E42" s="21">
        <f>IFERROR('Data Sheet'!D31/HistoricalFS!E39,0)</f>
        <v>194.72386505622657</v>
      </c>
      <c r="F42" s="21">
        <f>IFERROR('Data Sheet'!E31/HistoricalFS!F39,0)</f>
        <v>178.89833739130435</v>
      </c>
      <c r="G42" s="21">
        <f>IFERROR('Data Sheet'!F31/HistoricalFS!G39,0)</f>
        <v>187.82005141388174</v>
      </c>
      <c r="H42" s="21">
        <f>IFERROR('Data Sheet'!G31/HistoricalFS!H39,0)</f>
        <v>301.21656788793103</v>
      </c>
      <c r="I42" s="21">
        <f>IFERROR('Data Sheet'!H31/HistoricalFS!I39,0)</f>
        <v>217.00732863252802</v>
      </c>
      <c r="J42" s="21">
        <f>IFERROR('Data Sheet'!I31/HistoricalFS!J39,0)</f>
        <v>223.84702702702702</v>
      </c>
      <c r="K42" s="21">
        <f>IFERROR('Data Sheet'!J31/HistoricalFS!K39,0)</f>
        <v>245.29883647133488</v>
      </c>
      <c r="L42" s="21">
        <f>IFERROR('Data Sheet'!K31/HistoricalFS!L39,0)</f>
        <v>318.22822966507175</v>
      </c>
      <c r="M42" s="21">
        <f>IFERROR('Data Sheet'!L31/HistoricalFS!M39,0)</f>
        <v>0</v>
      </c>
    </row>
    <row r="43" spans="1:13" ht="14.25" customHeight="1" x14ac:dyDescent="0.3">
      <c r="B43" s="19" t="s">
        <v>29</v>
      </c>
      <c r="C43" s="20">
        <f t="shared" ref="C43:M43" si="16">IFERROR(C42/C39,0)</f>
        <v>11.519906208077959</v>
      </c>
      <c r="D43" s="20">
        <f t="shared" si="16"/>
        <v>10.601288847531038</v>
      </c>
      <c r="E43" s="20">
        <f t="shared" si="16"/>
        <v>8.77717213482304</v>
      </c>
      <c r="F43" s="20">
        <f t="shared" si="16"/>
        <v>6.7349779295818522</v>
      </c>
      <c r="G43" s="20">
        <f t="shared" si="16"/>
        <v>6.5326614283542925</v>
      </c>
      <c r="H43" s="20">
        <f t="shared" si="16"/>
        <v>9.5331148694704044</v>
      </c>
      <c r="I43" s="20">
        <f t="shared" si="16"/>
        <v>5.8938899474625801</v>
      </c>
      <c r="J43" s="20">
        <f t="shared" si="16"/>
        <v>5.4672658493004445</v>
      </c>
      <c r="K43" s="20">
        <f t="shared" si="16"/>
        <v>6.0964051848217524</v>
      </c>
      <c r="L43" s="20">
        <f t="shared" si="16"/>
        <v>8.1308073990980052</v>
      </c>
      <c r="M43" s="20">
        <f t="shared" si="16"/>
        <v>0</v>
      </c>
    </row>
    <row r="45" spans="1:13" ht="14.25" customHeight="1" x14ac:dyDescent="0.3">
      <c r="B45" s="19" t="s">
        <v>30</v>
      </c>
      <c r="C45" s="20">
        <f t="shared" ref="C45:M45" si="17">IFERROR(1-C43,0)</f>
        <v>-10.519906208077959</v>
      </c>
      <c r="D45" s="20">
        <f t="shared" si="17"/>
        <v>-9.6012888475310376</v>
      </c>
      <c r="E45" s="20">
        <f t="shared" si="17"/>
        <v>-7.77717213482304</v>
      </c>
      <c r="F45" s="20">
        <f t="shared" si="17"/>
        <v>-5.7349779295818522</v>
      </c>
      <c r="G45" s="20">
        <f t="shared" si="17"/>
        <v>-5.5326614283542925</v>
      </c>
      <c r="H45" s="20">
        <f t="shared" si="17"/>
        <v>-8.5331148694704044</v>
      </c>
      <c r="I45" s="20">
        <f t="shared" si="17"/>
        <v>-4.8938899474625801</v>
      </c>
      <c r="J45" s="20">
        <f t="shared" si="17"/>
        <v>-4.4672658493004445</v>
      </c>
      <c r="K45" s="20">
        <f t="shared" si="17"/>
        <v>-5.0964051848217524</v>
      </c>
      <c r="L45" s="20">
        <f t="shared" si="17"/>
        <v>-7.1308073990980052</v>
      </c>
      <c r="M45" s="20">
        <f t="shared" si="17"/>
        <v>1</v>
      </c>
    </row>
    <row r="46" spans="1:13" ht="14.25" customHeight="1" x14ac:dyDescent="0.3">
      <c r="B46" s="19" t="s">
        <v>30</v>
      </c>
      <c r="C46" s="20">
        <f t="shared" ref="C46:M46" si="18">IFERROR(IF(C37&gt;C39,1-C43,0),0)</f>
        <v>-10.519906208077959</v>
      </c>
      <c r="D46" s="20">
        <f t="shared" si="18"/>
        <v>-9.6012888475310376</v>
      </c>
      <c r="E46" s="20">
        <f t="shared" si="18"/>
        <v>-7.77717213482304</v>
      </c>
      <c r="F46" s="20">
        <f t="shared" si="18"/>
        <v>-5.7349779295818522</v>
      </c>
      <c r="G46" s="20">
        <f t="shared" si="18"/>
        <v>-5.5326614283542925</v>
      </c>
      <c r="H46" s="20">
        <f t="shared" si="18"/>
        <v>-8.5331148694704044</v>
      </c>
      <c r="I46" s="20">
        <f t="shared" si="18"/>
        <v>-4.8938899474625801</v>
      </c>
      <c r="J46" s="20">
        <f t="shared" si="18"/>
        <v>-4.4672658493004445</v>
      </c>
      <c r="K46" s="20">
        <f t="shared" si="18"/>
        <v>-5.0964051848217524</v>
      </c>
      <c r="L46" s="20">
        <f t="shared" si="18"/>
        <v>-7.1308073990980052</v>
      </c>
      <c r="M46" s="20">
        <f t="shared" si="18"/>
        <v>0</v>
      </c>
    </row>
    <row r="48" spans="1:13" ht="14.25" customHeight="1" x14ac:dyDescent="0.3">
      <c r="A48" s="8" t="s">
        <v>3</v>
      </c>
      <c r="B48" s="15" t="s">
        <v>31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7"/>
    </row>
    <row r="49" spans="2:14" ht="14.25" customHeight="1" x14ac:dyDescent="0.3">
      <c r="B49" s="8" t="s">
        <v>32</v>
      </c>
      <c r="C49" s="21">
        <f>IFERROR('Data Sheet'!B57,0)</f>
        <v>216</v>
      </c>
      <c r="D49" s="21">
        <f>IFERROR('Data Sheet'!C57,0)</f>
        <v>216</v>
      </c>
      <c r="E49" s="21">
        <f>IFERROR('Data Sheet'!D57,0)</f>
        <v>216</v>
      </c>
      <c r="F49" s="21">
        <f>IFERROR('Data Sheet'!E57,0)</f>
        <v>216</v>
      </c>
      <c r="G49" s="21">
        <f>IFERROR('Data Sheet'!F57,0)</f>
        <v>216</v>
      </c>
      <c r="H49" s="21">
        <f>IFERROR('Data Sheet'!G57,0)</f>
        <v>235</v>
      </c>
      <c r="I49" s="21">
        <f>IFERROR('Data Sheet'!H57,0)</f>
        <v>235</v>
      </c>
      <c r="J49" s="21">
        <f>IFERROR('Data Sheet'!I57,0)</f>
        <v>235</v>
      </c>
      <c r="K49" s="21">
        <f>IFERROR('Data Sheet'!J57,0)</f>
        <v>235</v>
      </c>
      <c r="L49" s="21">
        <f>IFERROR('Data Sheet'!K57,0)</f>
        <v>235</v>
      </c>
      <c r="M49" s="21">
        <f>IFERROR('Data Sheet'!L57,0)</f>
        <v>0</v>
      </c>
    </row>
    <row r="50" spans="2:14" ht="14.25" customHeight="1" x14ac:dyDescent="0.3">
      <c r="B50" s="8" t="s">
        <v>33</v>
      </c>
      <c r="C50" s="21">
        <f>IFERROR('Data Sheet'!B58,0)</f>
        <v>6357</v>
      </c>
      <c r="D50" s="21">
        <f>IFERROR('Data Sheet'!C58,0)</f>
        <v>6528</v>
      </c>
      <c r="E50" s="21">
        <f>IFERROR('Data Sheet'!D58,0)</f>
        <v>7065</v>
      </c>
      <c r="F50" s="21">
        <f>IFERROR('Data Sheet'!E58,0)</f>
        <v>7651</v>
      </c>
      <c r="G50" s="21">
        <f>IFERROR('Data Sheet'!F58,0)</f>
        <v>8013</v>
      </c>
      <c r="H50" s="21">
        <f>IFERROR('Data Sheet'!G58,0)</f>
        <v>47439</v>
      </c>
      <c r="I50" s="21">
        <f>IFERROR('Data Sheet'!H58,0)</f>
        <v>48826</v>
      </c>
      <c r="J50" s="21">
        <f>IFERROR('Data Sheet'!I58,0)</f>
        <v>50069</v>
      </c>
      <c r="K50" s="21">
        <f>IFERROR('Data Sheet'!J58,0)</f>
        <v>50983</v>
      </c>
      <c r="L50" s="21">
        <f>IFERROR('Data Sheet'!K58,0)</f>
        <v>49167</v>
      </c>
      <c r="M50" s="21">
        <f>IFERROR('Data Sheet'!L58,0)</f>
        <v>0</v>
      </c>
    </row>
    <row r="51" spans="2:14" ht="14.25" customHeight="1" x14ac:dyDescent="0.3">
      <c r="B51" s="8" t="s">
        <v>34</v>
      </c>
      <c r="C51" s="21">
        <f>IFERROR('Data Sheet'!B59,0)</f>
        <v>177</v>
      </c>
      <c r="D51" s="21">
        <f>IFERROR('Data Sheet'!C59,0)</f>
        <v>277</v>
      </c>
      <c r="E51" s="21">
        <f>IFERROR('Data Sheet'!D59,0)</f>
        <v>0</v>
      </c>
      <c r="F51" s="21">
        <f>IFERROR('Data Sheet'!E59,0)</f>
        <v>99</v>
      </c>
      <c r="G51" s="21">
        <f>IFERROR('Data Sheet'!F59,0)</f>
        <v>0</v>
      </c>
      <c r="H51" s="21">
        <f>IFERROR('Data Sheet'!G59,0)</f>
        <v>0</v>
      </c>
      <c r="I51" s="21">
        <f>IFERROR('Data Sheet'!H59,0)</f>
        <v>1043</v>
      </c>
      <c r="J51" s="21">
        <f>IFERROR('Data Sheet'!I59,0)</f>
        <v>1219</v>
      </c>
      <c r="K51" s="21">
        <f>IFERROR('Data Sheet'!J59,0)</f>
        <v>1484</v>
      </c>
      <c r="L51" s="21">
        <f>IFERROR('Data Sheet'!K59,0)</f>
        <v>1648</v>
      </c>
      <c r="M51" s="21">
        <f>IFERROR('Data Sheet'!L59,0)</f>
        <v>0</v>
      </c>
    </row>
    <row r="52" spans="2:14" ht="14.25" customHeight="1" x14ac:dyDescent="0.3">
      <c r="B52" s="8" t="s">
        <v>35</v>
      </c>
      <c r="C52" s="21">
        <f>IFERROR('Data Sheet'!B60,0)</f>
        <v>8043</v>
      </c>
      <c r="D52" s="21">
        <f>IFERROR('Data Sheet'!C60,0)</f>
        <v>8685</v>
      </c>
      <c r="E52" s="21">
        <f>IFERROR('Data Sheet'!D60,0)</f>
        <v>10581</v>
      </c>
      <c r="F52" s="21">
        <f>IFERROR('Data Sheet'!E60,0)</f>
        <v>10663</v>
      </c>
      <c r="G52" s="21">
        <f>IFERROR('Data Sheet'!F60,0)</f>
        <v>11924</v>
      </c>
      <c r="H52" s="21">
        <f>IFERROR('Data Sheet'!G60,0)</f>
        <v>21066</v>
      </c>
      <c r="I52" s="21">
        <f>IFERROR('Data Sheet'!H60,0)</f>
        <v>20402</v>
      </c>
      <c r="J52" s="21">
        <f>IFERROR('Data Sheet'!I60,0)</f>
        <v>21554</v>
      </c>
      <c r="K52" s="21">
        <f>IFERROR('Data Sheet'!J60,0)</f>
        <v>25787</v>
      </c>
      <c r="L52" s="21">
        <f>IFERROR('Data Sheet'!K60,0)</f>
        <v>28813</v>
      </c>
      <c r="M52" s="21">
        <f>IFERROR('Data Sheet'!L60,0)</f>
        <v>0</v>
      </c>
    </row>
    <row r="53" spans="2:14" ht="14.25" customHeight="1" x14ac:dyDescent="0.3">
      <c r="B53" s="24" t="s">
        <v>36</v>
      </c>
      <c r="C53" s="25">
        <f t="shared" ref="C53:M53" si="19">SUM(C49:C52)</f>
        <v>14793</v>
      </c>
      <c r="D53" s="25">
        <f t="shared" si="19"/>
        <v>15706</v>
      </c>
      <c r="E53" s="25">
        <f t="shared" si="19"/>
        <v>17862</v>
      </c>
      <c r="F53" s="25">
        <f t="shared" si="19"/>
        <v>18629</v>
      </c>
      <c r="G53" s="25">
        <f t="shared" si="19"/>
        <v>20153</v>
      </c>
      <c r="H53" s="25">
        <f t="shared" si="19"/>
        <v>68740</v>
      </c>
      <c r="I53" s="25">
        <f t="shared" si="19"/>
        <v>70506</v>
      </c>
      <c r="J53" s="25">
        <f t="shared" si="19"/>
        <v>73077</v>
      </c>
      <c r="K53" s="25">
        <f t="shared" si="19"/>
        <v>78489</v>
      </c>
      <c r="L53" s="25">
        <f t="shared" si="19"/>
        <v>79863</v>
      </c>
      <c r="M53" s="25">
        <f t="shared" si="19"/>
        <v>0</v>
      </c>
    </row>
    <row r="54" spans="2:14" ht="14.25" customHeight="1" x14ac:dyDescent="0.3"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 spans="2:14" ht="14.25" customHeight="1" x14ac:dyDescent="0.3">
      <c r="B55" s="8" t="s">
        <v>37</v>
      </c>
      <c r="C55" s="21">
        <f>IFERROR('Data Sheet'!B62,0)</f>
        <v>3258</v>
      </c>
      <c r="D55" s="21">
        <f>IFERROR('Data Sheet'!C62,0)</f>
        <v>4419</v>
      </c>
      <c r="E55" s="21">
        <f>IFERROR('Data Sheet'!D62,0)</f>
        <v>4528</v>
      </c>
      <c r="F55" s="21">
        <f>IFERROR('Data Sheet'!E62,0)</f>
        <v>4715</v>
      </c>
      <c r="G55" s="21">
        <f>IFERROR('Data Sheet'!F62,0)</f>
        <v>5479</v>
      </c>
      <c r="H55" s="21">
        <f>IFERROR('Data Sheet'!G62,0)</f>
        <v>51443</v>
      </c>
      <c r="I55" s="21">
        <f>IFERROR('Data Sheet'!H62,0)</f>
        <v>51473</v>
      </c>
      <c r="J55" s="21">
        <f>IFERROR('Data Sheet'!I62,0)</f>
        <v>52678</v>
      </c>
      <c r="K55" s="21">
        <f>IFERROR('Data Sheet'!J62,0)</f>
        <v>53744</v>
      </c>
      <c r="L55" s="21">
        <f>IFERROR('Data Sheet'!K62,0)</f>
        <v>54335</v>
      </c>
      <c r="M55" s="21">
        <f>IFERROR('Data Sheet'!L62,0)</f>
        <v>0</v>
      </c>
    </row>
    <row r="56" spans="2:14" ht="14.25" customHeight="1" x14ac:dyDescent="0.3">
      <c r="B56" s="8" t="s">
        <v>38</v>
      </c>
      <c r="C56" s="21">
        <f>IFERROR('Data Sheet'!B63,0)</f>
        <v>408</v>
      </c>
      <c r="D56" s="21">
        <f>IFERROR('Data Sheet'!C63,0)</f>
        <v>229</v>
      </c>
      <c r="E56" s="21">
        <f>IFERROR('Data Sheet'!D63,0)</f>
        <v>461</v>
      </c>
      <c r="F56" s="21">
        <f>IFERROR('Data Sheet'!E63,0)</f>
        <v>406</v>
      </c>
      <c r="G56" s="21">
        <f>IFERROR('Data Sheet'!F63,0)</f>
        <v>597</v>
      </c>
      <c r="H56" s="21">
        <f>IFERROR('Data Sheet'!G63,0)</f>
        <v>745</v>
      </c>
      <c r="I56" s="21">
        <f>IFERROR('Data Sheet'!H63,0)</f>
        <v>1313</v>
      </c>
      <c r="J56" s="21">
        <f>IFERROR('Data Sheet'!I63,0)</f>
        <v>1132</v>
      </c>
      <c r="K56" s="21">
        <f>IFERROR('Data Sheet'!J63,0)</f>
        <v>1025</v>
      </c>
      <c r="L56" s="21">
        <f>IFERROR('Data Sheet'!K63,0)</f>
        <v>1009</v>
      </c>
      <c r="M56" s="21">
        <f>IFERROR('Data Sheet'!L63,0)</f>
        <v>0</v>
      </c>
    </row>
    <row r="57" spans="2:14" ht="14.25" customHeight="1" x14ac:dyDescent="0.3">
      <c r="B57" s="8" t="s">
        <v>39</v>
      </c>
      <c r="C57" s="21">
        <f>IFERROR('Data Sheet'!B64,0)</f>
        <v>2592</v>
      </c>
      <c r="D57" s="21">
        <f>IFERROR('Data Sheet'!C64,0)</f>
        <v>3794</v>
      </c>
      <c r="E57" s="21">
        <f>IFERROR('Data Sheet'!D64,0)</f>
        <v>2873</v>
      </c>
      <c r="F57" s="21">
        <f>IFERROR('Data Sheet'!E64,0)</f>
        <v>2716</v>
      </c>
      <c r="G57" s="21">
        <f>IFERROR('Data Sheet'!F64,0)</f>
        <v>1255</v>
      </c>
      <c r="H57" s="21">
        <f>IFERROR('Data Sheet'!G64,0)</f>
        <v>2709</v>
      </c>
      <c r="I57" s="21">
        <f>IFERROR('Data Sheet'!H64,0)</f>
        <v>3521</v>
      </c>
      <c r="J57" s="21">
        <f>IFERROR('Data Sheet'!I64,0)</f>
        <v>2882</v>
      </c>
      <c r="K57" s="21">
        <f>IFERROR('Data Sheet'!J64,0)</f>
        <v>4625</v>
      </c>
      <c r="L57" s="21">
        <f>IFERROR('Data Sheet'!K64,0)</f>
        <v>3810</v>
      </c>
      <c r="M57" s="21">
        <f>IFERROR('Data Sheet'!L64,0)</f>
        <v>0</v>
      </c>
    </row>
    <row r="58" spans="2:14" ht="14.25" customHeight="1" x14ac:dyDescent="0.3">
      <c r="B58" s="8" t="s">
        <v>40</v>
      </c>
      <c r="C58" s="21">
        <f>IFERROR('Data Sheet'!B65-(SUM('Data Sheet'!B67:B69)),0)</f>
        <v>1536</v>
      </c>
      <c r="D58" s="21">
        <f>IFERROR('Data Sheet'!C65-(SUM('Data Sheet'!C67:C69)),0)</f>
        <v>1810</v>
      </c>
      <c r="E58" s="21">
        <f>IFERROR('Data Sheet'!D65-(SUM('Data Sheet'!D67:D69)),0)</f>
        <v>2692</v>
      </c>
      <c r="F58" s="21">
        <f>IFERROR('Data Sheet'!E65-(SUM('Data Sheet'!E67:E69)),0)</f>
        <v>2645</v>
      </c>
      <c r="G58" s="21">
        <f>IFERROR('Data Sheet'!F65-(SUM('Data Sheet'!F67:F69)),0)</f>
        <v>3793</v>
      </c>
      <c r="H58" s="21">
        <f>IFERROR('Data Sheet'!G65-(SUM('Data Sheet'!G67:G69)),0)</f>
        <v>4035</v>
      </c>
      <c r="I58" s="21">
        <f>IFERROR('Data Sheet'!H65-(SUM('Data Sheet'!H67:H69)),0)</f>
        <v>4021</v>
      </c>
      <c r="J58" s="21">
        <f>IFERROR('Data Sheet'!I65-(SUM('Data Sheet'!I67:I69)),0)</f>
        <v>4377</v>
      </c>
      <c r="K58" s="21">
        <f>IFERROR('Data Sheet'!J65-(SUM('Data Sheet'!J67:J69)),0)</f>
        <v>4517</v>
      </c>
      <c r="L58" s="21">
        <f>IFERROR('Data Sheet'!K65-(SUM('Data Sheet'!K67:K69)),0)</f>
        <v>4921</v>
      </c>
      <c r="M58" s="21">
        <f>IFERROR('Data Sheet'!L65-(SUM('Data Sheet'!L67:L69)),0)</f>
        <v>0</v>
      </c>
    </row>
    <row r="59" spans="2:14" ht="14.25" customHeight="1" x14ac:dyDescent="0.3">
      <c r="B59" s="24" t="s">
        <v>41</v>
      </c>
      <c r="C59" s="25">
        <f t="shared" ref="C59:M59" si="20">SUM(C55:C58)</f>
        <v>7794</v>
      </c>
      <c r="D59" s="25">
        <f t="shared" si="20"/>
        <v>10252</v>
      </c>
      <c r="E59" s="25">
        <f t="shared" si="20"/>
        <v>10554</v>
      </c>
      <c r="F59" s="25">
        <f t="shared" si="20"/>
        <v>10482</v>
      </c>
      <c r="G59" s="25">
        <f t="shared" si="20"/>
        <v>11124</v>
      </c>
      <c r="H59" s="25">
        <f t="shared" si="20"/>
        <v>58932</v>
      </c>
      <c r="I59" s="25">
        <f t="shared" si="20"/>
        <v>60328</v>
      </c>
      <c r="J59" s="25">
        <f t="shared" si="20"/>
        <v>61069</v>
      </c>
      <c r="K59" s="25">
        <f t="shared" si="20"/>
        <v>63911</v>
      </c>
      <c r="L59" s="25">
        <f t="shared" si="20"/>
        <v>64075</v>
      </c>
      <c r="M59" s="21">
        <f t="shared" si="20"/>
        <v>0</v>
      </c>
      <c r="N59" s="24"/>
    </row>
    <row r="60" spans="2:14" ht="14.25" customHeight="1" x14ac:dyDescent="0.3"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 spans="2:14" ht="14.25" customHeight="1" x14ac:dyDescent="0.3">
      <c r="B61" s="8" t="s">
        <v>42</v>
      </c>
      <c r="C61" s="21">
        <f>IFERROR('Data Sheet'!B67,0)</f>
        <v>1264</v>
      </c>
      <c r="D61" s="21">
        <f>IFERROR('Data Sheet'!C67,0)</f>
        <v>1085</v>
      </c>
      <c r="E61" s="21">
        <f>IFERROR('Data Sheet'!D67,0)</f>
        <v>1310</v>
      </c>
      <c r="F61" s="21">
        <f>IFERROR('Data Sheet'!E67,0)</f>
        <v>1816</v>
      </c>
      <c r="G61" s="21">
        <f>IFERROR('Data Sheet'!F67,0)</f>
        <v>1149</v>
      </c>
      <c r="H61" s="21">
        <f>IFERROR('Data Sheet'!G67,0)</f>
        <v>1758</v>
      </c>
      <c r="I61" s="21">
        <f>IFERROR('Data Sheet'!H67,0)</f>
        <v>2236</v>
      </c>
      <c r="J61" s="21">
        <f>IFERROR('Data Sheet'!I67,0)</f>
        <v>3079</v>
      </c>
      <c r="K61" s="21">
        <f>IFERROR('Data Sheet'!J67,0)</f>
        <v>2997</v>
      </c>
      <c r="L61" s="21">
        <f>IFERROR('Data Sheet'!K67,0)</f>
        <v>3819</v>
      </c>
      <c r="M61" s="21">
        <f>IFERROR('Data Sheet'!L67,0)</f>
        <v>0</v>
      </c>
    </row>
    <row r="62" spans="2:14" ht="14.25" customHeight="1" x14ac:dyDescent="0.3">
      <c r="B62" s="8" t="s">
        <v>43</v>
      </c>
      <c r="C62" s="21">
        <f>IFERROR('Data Sheet'!B68,0)</f>
        <v>2726</v>
      </c>
      <c r="D62" s="21">
        <f>IFERROR('Data Sheet'!C68,0)</f>
        <v>2541</v>
      </c>
      <c r="E62" s="21">
        <f>IFERROR('Data Sheet'!D68,0)</f>
        <v>2513</v>
      </c>
      <c r="F62" s="21">
        <f>IFERROR('Data Sheet'!E68,0)</f>
        <v>2574</v>
      </c>
      <c r="G62" s="21">
        <f>IFERROR('Data Sheet'!F68,0)</f>
        <v>2767</v>
      </c>
      <c r="H62" s="21">
        <f>IFERROR('Data Sheet'!G68,0)</f>
        <v>3579</v>
      </c>
      <c r="I62" s="21">
        <f>IFERROR('Data Sheet'!H68,0)</f>
        <v>4096</v>
      </c>
      <c r="J62" s="21">
        <f>IFERROR('Data Sheet'!I68,0)</f>
        <v>4251</v>
      </c>
      <c r="K62" s="21">
        <f>IFERROR('Data Sheet'!J68,0)</f>
        <v>4022</v>
      </c>
      <c r="L62" s="21">
        <f>IFERROR('Data Sheet'!K68,0)</f>
        <v>4415</v>
      </c>
      <c r="M62" s="21"/>
    </row>
    <row r="63" spans="2:14" ht="14.25" customHeight="1" x14ac:dyDescent="0.3">
      <c r="B63" s="8" t="s">
        <v>44</v>
      </c>
      <c r="C63" s="21">
        <f>IFERROR('Data Sheet'!B69,0)</f>
        <v>3009</v>
      </c>
      <c r="D63" s="21">
        <f>IFERROR('Data Sheet'!C69,0)</f>
        <v>1828</v>
      </c>
      <c r="E63" s="21">
        <f>IFERROR('Data Sheet'!D69,0)</f>
        <v>3485</v>
      </c>
      <c r="F63" s="21">
        <f>IFERROR('Data Sheet'!E69,0)</f>
        <v>3757</v>
      </c>
      <c r="G63" s="21">
        <f>IFERROR('Data Sheet'!F69,0)</f>
        <v>5113</v>
      </c>
      <c r="H63" s="21">
        <f>IFERROR('Data Sheet'!G69,0)</f>
        <v>4471</v>
      </c>
      <c r="I63" s="21">
        <f>IFERROR('Data Sheet'!H69,0)</f>
        <v>3846</v>
      </c>
      <c r="J63" s="21">
        <f>IFERROR('Data Sheet'!I69,0)</f>
        <v>4678</v>
      </c>
      <c r="K63" s="21">
        <f>IFERROR('Data Sheet'!J69,0)</f>
        <v>7559</v>
      </c>
      <c r="L63" s="21">
        <f>IFERROR('Data Sheet'!K69,0)</f>
        <v>7554</v>
      </c>
      <c r="M63" s="21"/>
    </row>
    <row r="64" spans="2:14" ht="14.25" customHeight="1" x14ac:dyDescent="0.3">
      <c r="B64" s="24" t="s">
        <v>45</v>
      </c>
      <c r="C64" s="25">
        <f t="shared" ref="C64:L64" si="21">SUM(C61:C63)</f>
        <v>6999</v>
      </c>
      <c r="D64" s="25">
        <f t="shared" si="21"/>
        <v>5454</v>
      </c>
      <c r="E64" s="25">
        <f t="shared" si="21"/>
        <v>7308</v>
      </c>
      <c r="F64" s="25">
        <f t="shared" si="21"/>
        <v>8147</v>
      </c>
      <c r="G64" s="25">
        <f t="shared" si="21"/>
        <v>9029</v>
      </c>
      <c r="H64" s="25">
        <f t="shared" si="21"/>
        <v>9808</v>
      </c>
      <c r="I64" s="25">
        <f t="shared" si="21"/>
        <v>10178</v>
      </c>
      <c r="J64" s="25">
        <f t="shared" si="21"/>
        <v>12008</v>
      </c>
      <c r="K64" s="25">
        <f t="shared" si="21"/>
        <v>14578</v>
      </c>
      <c r="L64" s="25">
        <f t="shared" si="21"/>
        <v>15788</v>
      </c>
      <c r="M64" s="24"/>
      <c r="N64" s="24"/>
    </row>
    <row r="66" spans="1:14" ht="14.25" customHeight="1" x14ac:dyDescent="0.3">
      <c r="B66" s="24" t="s">
        <v>46</v>
      </c>
      <c r="C66" s="26">
        <f t="shared" ref="C66:L66" si="22">C59+C64</f>
        <v>14793</v>
      </c>
      <c r="D66" s="26">
        <f t="shared" si="22"/>
        <v>15706</v>
      </c>
      <c r="E66" s="26">
        <f t="shared" si="22"/>
        <v>17862</v>
      </c>
      <c r="F66" s="26">
        <f t="shared" si="22"/>
        <v>18629</v>
      </c>
      <c r="G66" s="26">
        <f t="shared" si="22"/>
        <v>20153</v>
      </c>
      <c r="H66" s="26">
        <f t="shared" si="22"/>
        <v>68740</v>
      </c>
      <c r="I66" s="26">
        <f t="shared" si="22"/>
        <v>70506</v>
      </c>
      <c r="J66" s="26">
        <f t="shared" si="22"/>
        <v>73077</v>
      </c>
      <c r="K66" s="26">
        <f t="shared" si="22"/>
        <v>78489</v>
      </c>
      <c r="L66" s="26">
        <f t="shared" si="22"/>
        <v>79863</v>
      </c>
      <c r="M66" s="24"/>
      <c r="N66" s="24"/>
    </row>
    <row r="68" spans="1:14" ht="14.25" customHeight="1" x14ac:dyDescent="0.3">
      <c r="B68" s="27" t="s">
        <v>47</v>
      </c>
      <c r="C68" s="28" t="b">
        <f t="shared" ref="C68:L68" si="23">C53=C66</f>
        <v>1</v>
      </c>
      <c r="D68" s="28" t="b">
        <f t="shared" si="23"/>
        <v>1</v>
      </c>
      <c r="E68" s="28" t="b">
        <f t="shared" si="23"/>
        <v>1</v>
      </c>
      <c r="F68" s="28" t="b">
        <f t="shared" si="23"/>
        <v>1</v>
      </c>
      <c r="G68" s="28" t="b">
        <f t="shared" si="23"/>
        <v>1</v>
      </c>
      <c r="H68" s="28" t="b">
        <f t="shared" si="23"/>
        <v>1</v>
      </c>
      <c r="I68" s="28" t="b">
        <f t="shared" si="23"/>
        <v>1</v>
      </c>
      <c r="J68" s="28" t="b">
        <f t="shared" si="23"/>
        <v>1</v>
      </c>
      <c r="K68" s="28" t="b">
        <f t="shared" si="23"/>
        <v>1</v>
      </c>
      <c r="L68" s="28" t="b">
        <f t="shared" si="23"/>
        <v>1</v>
      </c>
    </row>
    <row r="70" spans="1:14" ht="14.25" customHeight="1" x14ac:dyDescent="0.3">
      <c r="A70" s="8" t="s">
        <v>3</v>
      </c>
      <c r="B70" s="15" t="s">
        <v>48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7"/>
    </row>
    <row r="71" spans="1:14" ht="14.25" customHeight="1" x14ac:dyDescent="0.3">
      <c r="B71" s="24" t="s">
        <v>49</v>
      </c>
    </row>
    <row r="72" spans="1:14" ht="14.25" customHeight="1" x14ac:dyDescent="0.3">
      <c r="B72" s="8" t="s">
        <v>50</v>
      </c>
      <c r="C72" s="29">
        <f>'Cash Flow Statement'!C5</f>
        <v>6025</v>
      </c>
      <c r="D72" s="29">
        <f>'Cash Flow Statement'!D5</f>
        <v>6512</v>
      </c>
      <c r="E72" s="29">
        <f>'Cash Flow Statement'!E5</f>
        <v>7485</v>
      </c>
      <c r="F72" s="29">
        <f>'Cash Flow Statement'!F5</f>
        <v>8909</v>
      </c>
      <c r="G72" s="29">
        <f>'Cash Flow Statement'!G5</f>
        <v>9723</v>
      </c>
      <c r="H72" s="29">
        <f>'Cash Flow Statement'!H5</f>
        <v>11672</v>
      </c>
      <c r="I72" s="29">
        <f>'Cash Flow Statement'!I5</f>
        <v>12829</v>
      </c>
      <c r="J72" s="29">
        <f>'Cash Flow Statement'!J5</f>
        <v>14089</v>
      </c>
      <c r="K72" s="29">
        <f>'Cash Flow Statement'!K5</f>
        <v>14537</v>
      </c>
      <c r="L72" s="29">
        <f>'Cash Flow Statement'!L5</f>
        <v>14942</v>
      </c>
    </row>
    <row r="73" spans="1:14" ht="14.25" customHeight="1" x14ac:dyDescent="0.3">
      <c r="B73" s="8" t="s">
        <v>42</v>
      </c>
      <c r="C73" s="29">
        <f>'Cash Flow Statement'!C6</f>
        <v>-257</v>
      </c>
      <c r="D73" s="29">
        <f>'Cash Flow Statement'!D6</f>
        <v>173</v>
      </c>
      <c r="E73" s="29">
        <f>'Cash Flow Statement'!E6</f>
        <v>0</v>
      </c>
      <c r="F73" s="29">
        <f>'Cash Flow Statement'!F6</f>
        <v>0</v>
      </c>
      <c r="G73" s="29">
        <f>'Cash Flow Statement'!G6</f>
        <v>0</v>
      </c>
      <c r="H73" s="29">
        <f>'Cash Flow Statement'!H6</f>
        <v>0</v>
      </c>
      <c r="I73" s="29">
        <f>'Cash Flow Statement'!I6</f>
        <v>0</v>
      </c>
      <c r="J73" s="29">
        <f>'Cash Flow Statement'!J6</f>
        <v>0</v>
      </c>
      <c r="K73" s="29">
        <f>'Cash Flow Statement'!K6</f>
        <v>0</v>
      </c>
      <c r="L73" s="29">
        <f>'Cash Flow Statement'!L6</f>
        <v>0</v>
      </c>
    </row>
    <row r="74" spans="1:14" ht="14.25" customHeight="1" x14ac:dyDescent="0.3">
      <c r="B74" s="8" t="s">
        <v>43</v>
      </c>
      <c r="C74" s="29">
        <f>'Cash Flow Statement'!C7</f>
        <v>89</v>
      </c>
      <c r="D74" s="29">
        <f>'Cash Flow Statement'!D7</f>
        <v>37</v>
      </c>
      <c r="E74" s="29">
        <f>'Cash Flow Statement'!E7</f>
        <v>-146</v>
      </c>
      <c r="F74" s="29">
        <f>'Cash Flow Statement'!F7</f>
        <v>-195</v>
      </c>
      <c r="G74" s="29">
        <f>'Cash Flow Statement'!G7</f>
        <v>-331</v>
      </c>
      <c r="H74" s="29">
        <f>'Cash Flow Statement'!H7</f>
        <v>-543</v>
      </c>
      <c r="I74" s="29">
        <f>'Cash Flow Statement'!I7</f>
        <v>-758</v>
      </c>
      <c r="J74" s="29">
        <f>'Cash Flow Statement'!J7</f>
        <v>-339</v>
      </c>
      <c r="K74" s="29">
        <f>'Cash Flow Statement'!K7</f>
        <v>74</v>
      </c>
      <c r="L74" s="29">
        <f>'Cash Flow Statement'!L7</f>
        <v>-584</v>
      </c>
      <c r="M74" s="21">
        <f>IFERROR('Cash Flow Statement'!L5,0)</f>
        <v>14942</v>
      </c>
    </row>
    <row r="75" spans="1:14" ht="14.25" customHeight="1" x14ac:dyDescent="0.3">
      <c r="B75" s="8" t="s">
        <v>51</v>
      </c>
      <c r="C75" s="29">
        <f>'Cash Flow Statement'!C8</f>
        <v>164</v>
      </c>
      <c r="D75" s="29">
        <f>'Cash Flow Statement'!D8</f>
        <v>501</v>
      </c>
      <c r="E75" s="29">
        <f>'Cash Flow Statement'!E8</f>
        <v>0</v>
      </c>
      <c r="F75" s="29">
        <f>'Cash Flow Statement'!F8</f>
        <v>0</v>
      </c>
      <c r="G75" s="29">
        <f>'Cash Flow Statement'!G8</f>
        <v>0</v>
      </c>
      <c r="H75" s="29">
        <f>'Cash Flow Statement'!H8</f>
        <v>0</v>
      </c>
      <c r="I75" s="29">
        <f>'Cash Flow Statement'!I8</f>
        <v>0</v>
      </c>
      <c r="J75" s="29">
        <f>'Cash Flow Statement'!J8</f>
        <v>0</v>
      </c>
      <c r="K75" s="29">
        <f>'Cash Flow Statement'!K8</f>
        <v>0</v>
      </c>
      <c r="L75" s="29">
        <f>'Cash Flow Statement'!L8</f>
        <v>0</v>
      </c>
      <c r="M75" s="21">
        <f>IFERROR('Cash Flow Statement'!L6,0)</f>
        <v>0</v>
      </c>
      <c r="N75" s="30"/>
    </row>
    <row r="76" spans="1:14" ht="14.25" customHeight="1" x14ac:dyDescent="0.3">
      <c r="B76" s="8" t="s">
        <v>52</v>
      </c>
      <c r="C76" s="29">
        <f>'Cash Flow Statement'!C9</f>
        <v>0</v>
      </c>
      <c r="D76" s="29">
        <f>'Cash Flow Statement'!D9</f>
        <v>0</v>
      </c>
      <c r="E76" s="29">
        <f>'Cash Flow Statement'!E9</f>
        <v>0</v>
      </c>
      <c r="F76" s="29">
        <f>'Cash Flow Statement'!F9</f>
        <v>0</v>
      </c>
      <c r="G76" s="29">
        <f>'Cash Flow Statement'!G9</f>
        <v>0</v>
      </c>
      <c r="H76" s="29">
        <f>'Cash Flow Statement'!H9</f>
        <v>0</v>
      </c>
      <c r="I76" s="29">
        <f>'Cash Flow Statement'!I9</f>
        <v>0</v>
      </c>
      <c r="J76" s="29">
        <f>'Cash Flow Statement'!J9</f>
        <v>0</v>
      </c>
      <c r="K76" s="29">
        <f>'Cash Flow Statement'!K9</f>
        <v>0</v>
      </c>
      <c r="L76" s="29">
        <f>'Cash Flow Statement'!L9</f>
        <v>0</v>
      </c>
      <c r="M76" s="21">
        <f>IFERROR('Cash Flow Statement'!L7,0)</f>
        <v>-584</v>
      </c>
      <c r="N76" s="30"/>
    </row>
    <row r="77" spans="1:14" ht="14.25" customHeight="1" x14ac:dyDescent="0.3">
      <c r="B77" s="8" t="s">
        <v>53</v>
      </c>
      <c r="C77" s="29">
        <f>'Cash Flow Statement'!C10</f>
        <v>0</v>
      </c>
      <c r="D77" s="29">
        <f>'Cash Flow Statement'!D10</f>
        <v>-46</v>
      </c>
      <c r="E77" s="29">
        <f>'Cash Flow Statement'!E10</f>
        <v>0</v>
      </c>
      <c r="F77" s="29">
        <f>'Cash Flow Statement'!F10</f>
        <v>0</v>
      </c>
      <c r="G77" s="29">
        <f>'Cash Flow Statement'!G10</f>
        <v>0</v>
      </c>
      <c r="H77" s="29">
        <f>'Cash Flow Statement'!H10</f>
        <v>0</v>
      </c>
      <c r="I77" s="29">
        <f>'Cash Flow Statement'!I10</f>
        <v>0</v>
      </c>
      <c r="J77" s="29">
        <f>'Cash Flow Statement'!J10</f>
        <v>0</v>
      </c>
      <c r="K77" s="29">
        <f>'Cash Flow Statement'!K10</f>
        <v>0</v>
      </c>
      <c r="L77" s="29">
        <f>'Cash Flow Statement'!L10</f>
        <v>0</v>
      </c>
      <c r="M77" s="21">
        <f>IFERROR('Cash Flow Statement'!L8,0)</f>
        <v>0</v>
      </c>
      <c r="N77" s="30"/>
    </row>
    <row r="78" spans="1:14" ht="14.25" customHeight="1" x14ac:dyDescent="0.3">
      <c r="B78" s="8" t="s">
        <v>54</v>
      </c>
      <c r="C78" s="29">
        <f>'Cash Flow Statement'!C11</f>
        <v>-77</v>
      </c>
      <c r="D78" s="29">
        <f>'Cash Flow Statement'!D11</f>
        <v>-99</v>
      </c>
      <c r="E78" s="29">
        <f>'Cash Flow Statement'!E11</f>
        <v>982</v>
      </c>
      <c r="F78" s="29">
        <f>'Cash Flow Statement'!F11</f>
        <v>-147</v>
      </c>
      <c r="G78" s="29">
        <f>'Cash Flow Statement'!G11</f>
        <v>742</v>
      </c>
      <c r="H78" s="29">
        <f>'Cash Flow Statement'!H11</f>
        <v>442</v>
      </c>
      <c r="I78" s="29">
        <f>'Cash Flow Statement'!I11</f>
        <v>-242</v>
      </c>
      <c r="J78" s="29">
        <f>'Cash Flow Statement'!J11</f>
        <v>-621</v>
      </c>
      <c r="K78" s="29">
        <f>'Cash Flow Statement'!K11</f>
        <v>1239</v>
      </c>
      <c r="L78" s="29">
        <f>'Cash Flow Statement'!L11</f>
        <v>-204</v>
      </c>
      <c r="M78" s="21">
        <f>IFERROR('Cash Flow Statement'!L9,0)</f>
        <v>0</v>
      </c>
      <c r="N78" s="30"/>
    </row>
    <row r="79" spans="1:14" ht="14.25" customHeight="1" x14ac:dyDescent="0.3">
      <c r="B79" s="8" t="s">
        <v>55</v>
      </c>
      <c r="C79" s="29">
        <f>'Cash Flow Statement'!C12</f>
        <v>-81</v>
      </c>
      <c r="D79" s="29">
        <f>'Cash Flow Statement'!D12</f>
        <v>566</v>
      </c>
      <c r="E79" s="29">
        <f>'Cash Flow Statement'!E12</f>
        <v>836</v>
      </c>
      <c r="F79" s="29">
        <f>'Cash Flow Statement'!F12</f>
        <v>-342</v>
      </c>
      <c r="G79" s="29">
        <f>'Cash Flow Statement'!G12</f>
        <v>411</v>
      </c>
      <c r="H79" s="29">
        <f>'Cash Flow Statement'!H12</f>
        <v>-101</v>
      </c>
      <c r="I79" s="29">
        <f>'Cash Flow Statement'!I12</f>
        <v>-1000</v>
      </c>
      <c r="J79" s="29">
        <f>'Cash Flow Statement'!J12</f>
        <v>-960</v>
      </c>
      <c r="K79" s="29">
        <f>'Cash Flow Statement'!K12</f>
        <v>1313</v>
      </c>
      <c r="L79" s="29">
        <f>'Cash Flow Statement'!L12</f>
        <v>-788</v>
      </c>
      <c r="M79" s="21">
        <f>IFERROR('Cash Flow Statement'!L10,0)</f>
        <v>0</v>
      </c>
      <c r="N79" s="30"/>
    </row>
    <row r="80" spans="1:14" ht="14.25" customHeight="1" x14ac:dyDescent="0.3">
      <c r="B80" s="8" t="s">
        <v>56</v>
      </c>
      <c r="C80" s="29">
        <f>'Cash Flow Statement'!C13</f>
        <v>-1765</v>
      </c>
      <c r="D80" s="29">
        <f>'Cash Flow Statement'!D13</f>
        <v>-1859</v>
      </c>
      <c r="E80" s="29">
        <f>'Cash Flow Statement'!E13</f>
        <v>-2264</v>
      </c>
      <c r="F80" s="29">
        <f>'Cash Flow Statement'!F13</f>
        <v>-2767</v>
      </c>
      <c r="G80" s="29">
        <f>'Cash Flow Statement'!G13</f>
        <v>-2505</v>
      </c>
      <c r="H80" s="29">
        <f>'Cash Flow Statement'!H13</f>
        <v>-2407</v>
      </c>
      <c r="I80" s="29">
        <f>'Cash Flow Statement'!I13</f>
        <v>-2784</v>
      </c>
      <c r="J80" s="29">
        <f>'Cash Flow Statement'!J13</f>
        <v>-3138</v>
      </c>
      <c r="K80" s="29">
        <f>'Cash Flow Statement'!K13</f>
        <v>-381</v>
      </c>
      <c r="L80" s="29">
        <f>'Cash Flow Statement'!L13</f>
        <v>-2268</v>
      </c>
      <c r="M80" s="21">
        <f>IFERROR('Cash Flow Statement'!K11,0)</f>
        <v>1239</v>
      </c>
      <c r="N80" s="30"/>
    </row>
    <row r="81" spans="2:14" ht="14.25" customHeight="1" x14ac:dyDescent="0.3">
      <c r="B81" s="8" t="s">
        <v>57</v>
      </c>
      <c r="C81" s="29">
        <f>'Cash Flow Statement'!C14</f>
        <v>-8</v>
      </c>
      <c r="D81" s="29">
        <f>'Cash Flow Statement'!D14</f>
        <v>-21</v>
      </c>
      <c r="E81" s="29">
        <f>'Cash Flow Statement'!E14</f>
        <v>0</v>
      </c>
      <c r="F81" s="29">
        <f>'Cash Flow Statement'!F14</f>
        <v>0</v>
      </c>
      <c r="G81" s="29">
        <f>'Cash Flow Statement'!G14</f>
        <v>0</v>
      </c>
      <c r="H81" s="29">
        <f>'Cash Flow Statement'!H14</f>
        <v>0</v>
      </c>
      <c r="I81" s="29">
        <f>'Cash Flow Statement'!I14</f>
        <v>0</v>
      </c>
      <c r="J81" s="29">
        <f>'Cash Flow Statement'!J14</f>
        <v>0</v>
      </c>
      <c r="K81" s="29">
        <f>'Cash Flow Statement'!K14</f>
        <v>0</v>
      </c>
      <c r="L81" s="29">
        <f>'Cash Flow Statement'!L14</f>
        <v>0</v>
      </c>
      <c r="N81" s="30"/>
    </row>
    <row r="82" spans="2:14" ht="14.25" customHeight="1" x14ac:dyDescent="0.3">
      <c r="B82" s="8" t="s">
        <v>58</v>
      </c>
      <c r="C82" s="29">
        <f>'Cash Flow Statement'!C15</f>
        <v>0</v>
      </c>
      <c r="D82" s="29">
        <f>'Cash Flow Statement'!D15</f>
        <v>-13</v>
      </c>
      <c r="E82" s="29">
        <f>'Cash Flow Statement'!E15</f>
        <v>2</v>
      </c>
      <c r="F82" s="29">
        <f>'Cash Flow Statement'!F15</f>
        <v>0</v>
      </c>
      <c r="G82" s="29">
        <f>'Cash Flow Statement'!G15</f>
        <v>-6</v>
      </c>
      <c r="H82" s="29">
        <f>'Cash Flow Statement'!H15</f>
        <v>-1</v>
      </c>
      <c r="I82" s="29">
        <f>'Cash Flow Statement'!I15</f>
        <v>3</v>
      </c>
      <c r="J82" s="29">
        <f>'Cash Flow Statement'!J15</f>
        <v>0</v>
      </c>
      <c r="K82" s="29">
        <f>'Cash Flow Statement'!K15</f>
        <v>0</v>
      </c>
      <c r="L82" s="29">
        <f>'Cash Flow Statement'!L15</f>
        <v>0</v>
      </c>
      <c r="N82" s="30"/>
    </row>
    <row r="83" spans="2:14" ht="14.25" customHeight="1" x14ac:dyDescent="0.3">
      <c r="B83" s="24" t="s">
        <v>59</v>
      </c>
    </row>
    <row r="84" spans="2:14" ht="14.25" customHeight="1" x14ac:dyDescent="0.3">
      <c r="B84" s="8" t="s">
        <v>60</v>
      </c>
      <c r="C84" s="21">
        <f>'Cash Flow Statement'!C18</f>
        <v>-810</v>
      </c>
      <c r="D84" s="21">
        <f>'Cash Flow Statement'!D18</f>
        <v>-1113</v>
      </c>
      <c r="E84" s="21">
        <f>'Cash Flow Statement'!E18</f>
        <v>-895</v>
      </c>
      <c r="F84" s="21">
        <f>'Cash Flow Statement'!F18</f>
        <v>-767</v>
      </c>
      <c r="G84" s="21">
        <f>'Cash Flow Statement'!G18</f>
        <v>-862</v>
      </c>
      <c r="H84" s="21">
        <f>'Cash Flow Statement'!H18</f>
        <v>-4163</v>
      </c>
      <c r="I84" s="21">
        <f>'Cash Flow Statement'!I18</f>
        <v>-1228</v>
      </c>
      <c r="J84" s="21">
        <f>'Cash Flow Statement'!J18</f>
        <v>-1192</v>
      </c>
      <c r="K84" s="21">
        <f>'Cash Flow Statement'!K18</f>
        <v>-1477</v>
      </c>
      <c r="L84" s="21">
        <f>'Cash Flow Statement'!L18</f>
        <v>-1275</v>
      </c>
      <c r="M84" s="21">
        <f>'Cash Flow Statement'!M18</f>
        <v>0</v>
      </c>
    </row>
    <row r="85" spans="2:14" ht="14.25" customHeight="1" x14ac:dyDescent="0.3">
      <c r="B85" s="8" t="s">
        <v>61</v>
      </c>
      <c r="C85" s="21">
        <f>'Cash Flow Statement'!C19</f>
        <v>99</v>
      </c>
      <c r="D85" s="21">
        <f>'Cash Flow Statement'!D19</f>
        <v>176</v>
      </c>
      <c r="E85" s="21">
        <f>'Cash Flow Statement'!E19</f>
        <v>32</v>
      </c>
      <c r="F85" s="21">
        <f>'Cash Flow Statement'!F19</f>
        <v>13</v>
      </c>
      <c r="G85" s="21">
        <f>'Cash Flow Statement'!G19</f>
        <v>52</v>
      </c>
      <c r="H85" s="21">
        <f>'Cash Flow Statement'!H19</f>
        <v>97</v>
      </c>
      <c r="I85" s="21">
        <f>'Cash Flow Statement'!I19</f>
        <v>175</v>
      </c>
      <c r="J85" s="21">
        <f>'Cash Flow Statement'!J19</f>
        <v>181</v>
      </c>
      <c r="K85" s="21">
        <f>'Cash Flow Statement'!K19</f>
        <v>20</v>
      </c>
      <c r="L85" s="21">
        <f>'Cash Flow Statement'!L19</f>
        <v>13</v>
      </c>
      <c r="M85" s="21">
        <f>'Cash Flow Statement'!M19</f>
        <v>0</v>
      </c>
    </row>
    <row r="86" spans="2:14" ht="14.25" customHeight="1" x14ac:dyDescent="0.3">
      <c r="B86" s="8" t="s">
        <v>62</v>
      </c>
      <c r="C86" s="21">
        <f>'Cash Flow Statement'!C20</f>
        <v>-20666</v>
      </c>
      <c r="D86" s="21">
        <f>'Cash Flow Statement'!D20</f>
        <v>-31214</v>
      </c>
      <c r="E86" s="21">
        <f>'Cash Flow Statement'!E20</f>
        <v>-51855</v>
      </c>
      <c r="F86" s="21">
        <f>'Cash Flow Statement'!F20</f>
        <v>-74365</v>
      </c>
      <c r="G86" s="21">
        <f>'Cash Flow Statement'!G20</f>
        <v>-36090</v>
      </c>
      <c r="H86" s="21">
        <f>'Cash Flow Statement'!H20</f>
        <v>-39920</v>
      </c>
      <c r="I86" s="21">
        <f>'Cash Flow Statement'!I20</f>
        <v>-48522</v>
      </c>
      <c r="J86" s="21">
        <f>'Cash Flow Statement'!J20</f>
        <v>-22649</v>
      </c>
      <c r="K86" s="21">
        <f>'Cash Flow Statement'!K20</f>
        <v>-21337</v>
      </c>
      <c r="L86" s="21">
        <f>'Cash Flow Statement'!L20</f>
        <v>-22957</v>
      </c>
      <c r="M86" s="21">
        <f>'Cash Flow Statement'!M20</f>
        <v>0</v>
      </c>
    </row>
    <row r="87" spans="2:14" ht="14.25" customHeight="1" x14ac:dyDescent="0.3">
      <c r="B87" s="8" t="s">
        <v>63</v>
      </c>
      <c r="C87" s="21">
        <f>'Cash Flow Statement'!C21</f>
        <v>20937</v>
      </c>
      <c r="D87" s="21">
        <f>'Cash Flow Statement'!D21</f>
        <v>30083</v>
      </c>
      <c r="E87" s="21">
        <f>'Cash Flow Statement'!E21</f>
        <v>52897</v>
      </c>
      <c r="F87" s="21">
        <f>'Cash Flow Statement'!F21</f>
        <v>74691</v>
      </c>
      <c r="G87" s="21">
        <f>'Cash Flow Statement'!G21</f>
        <v>37690</v>
      </c>
      <c r="H87" s="21">
        <f>'Cash Flow Statement'!H21</f>
        <v>38486</v>
      </c>
      <c r="I87" s="21">
        <f>'Cash Flow Statement'!I21</f>
        <v>47786</v>
      </c>
      <c r="J87" s="21">
        <f>'Cash Flow Statement'!J21</f>
        <v>23462</v>
      </c>
      <c r="K87" s="21">
        <f>'Cash Flow Statement'!K21</f>
        <v>19846</v>
      </c>
      <c r="L87" s="21">
        <f>'Cash Flow Statement'!L21</f>
        <v>23987</v>
      </c>
      <c r="M87" s="21">
        <f>'Cash Flow Statement'!M21</f>
        <v>0</v>
      </c>
    </row>
    <row r="88" spans="2:14" ht="14.25" customHeight="1" x14ac:dyDescent="0.3">
      <c r="B88" s="8" t="s">
        <v>64</v>
      </c>
      <c r="C88" s="21">
        <f>'Cash Flow Statement'!C22</f>
        <v>315</v>
      </c>
      <c r="D88" s="21">
        <f>'Cash Flow Statement'!D22</f>
        <v>264</v>
      </c>
      <c r="E88" s="21">
        <f>'Cash Flow Statement'!E22</f>
        <v>297</v>
      </c>
      <c r="F88" s="21">
        <f>'Cash Flow Statement'!F22</f>
        <v>289</v>
      </c>
      <c r="G88" s="21">
        <f>'Cash Flow Statement'!G22</f>
        <v>351</v>
      </c>
      <c r="H88" s="21">
        <f>'Cash Flow Statement'!H22</f>
        <v>277</v>
      </c>
      <c r="I88" s="21">
        <f>'Cash Flow Statement'!I22</f>
        <v>161</v>
      </c>
      <c r="J88" s="21">
        <f>'Cash Flow Statement'!J22</f>
        <v>259</v>
      </c>
      <c r="K88" s="21">
        <f>'Cash Flow Statement'!K22</f>
        <v>425</v>
      </c>
      <c r="L88" s="21">
        <f>'Cash Flow Statement'!L22</f>
        <v>835</v>
      </c>
      <c r="M88" s="21">
        <f>'Cash Flow Statement'!M22</f>
        <v>0</v>
      </c>
    </row>
    <row r="89" spans="2:14" ht="14.25" customHeight="1" x14ac:dyDescent="0.3">
      <c r="B89" s="8" t="s">
        <v>65</v>
      </c>
      <c r="C89" s="21">
        <f>'Cash Flow Statement'!C23</f>
        <v>33</v>
      </c>
      <c r="D89" s="21">
        <f>'Cash Flow Statement'!D23</f>
        <v>14</v>
      </c>
      <c r="E89" s="21">
        <f>'Cash Flow Statement'!E23</f>
        <v>0</v>
      </c>
      <c r="F89" s="21">
        <f>'Cash Flow Statement'!F23</f>
        <v>1</v>
      </c>
      <c r="G89" s="21">
        <f>'Cash Flow Statement'!G23</f>
        <v>1</v>
      </c>
      <c r="H89" s="21">
        <f>'Cash Flow Statement'!H23</f>
        <v>1</v>
      </c>
      <c r="I89" s="21">
        <f>'Cash Flow Statement'!I23</f>
        <v>1</v>
      </c>
      <c r="J89" s="21">
        <f>'Cash Flow Statement'!J23</f>
        <v>2</v>
      </c>
      <c r="K89" s="21">
        <f>'Cash Flow Statement'!K23</f>
        <v>3</v>
      </c>
      <c r="L89" s="21">
        <f>'Cash Flow Statement'!L23</f>
        <v>0</v>
      </c>
      <c r="M89" s="21">
        <f>'Cash Flow Statement'!M23</f>
        <v>0</v>
      </c>
    </row>
    <row r="90" spans="2:14" ht="14.25" customHeight="1" x14ac:dyDescent="0.3">
      <c r="B90" s="8" t="s">
        <v>66</v>
      </c>
      <c r="C90" s="21">
        <f>'Cash Flow Statement'!C24</f>
        <v>0</v>
      </c>
      <c r="D90" s="21">
        <f>'Cash Flow Statement'!D24</f>
        <v>0</v>
      </c>
      <c r="E90" s="21">
        <f>'Cash Flow Statement'!E24</f>
        <v>0</v>
      </c>
      <c r="F90" s="21">
        <f>'Cash Flow Statement'!F24</f>
        <v>0</v>
      </c>
      <c r="G90" s="21">
        <f>'Cash Flow Statement'!G24</f>
        <v>0</v>
      </c>
      <c r="H90" s="21">
        <f>'Cash Flow Statement'!H24</f>
        <v>0</v>
      </c>
      <c r="I90" s="21">
        <f>'Cash Flow Statement'!I24</f>
        <v>0</v>
      </c>
      <c r="J90" s="21">
        <f>'Cash Flow Statement'!J24</f>
        <v>0</v>
      </c>
      <c r="K90" s="21">
        <f>'Cash Flow Statement'!K24</f>
        <v>0</v>
      </c>
      <c r="L90" s="21">
        <f>'Cash Flow Statement'!L24</f>
        <v>0</v>
      </c>
      <c r="M90" s="21">
        <f>'Cash Flow Statement'!M24</f>
        <v>0</v>
      </c>
    </row>
    <row r="91" spans="2:14" ht="14.25" customHeight="1" x14ac:dyDescent="0.3">
      <c r="B91" s="8" t="s">
        <v>67</v>
      </c>
      <c r="C91" s="21">
        <f>'Cash Flow Statement'!C25</f>
        <v>0</v>
      </c>
      <c r="D91" s="21">
        <f>'Cash Flow Statement'!D25</f>
        <v>0</v>
      </c>
      <c r="E91" s="21">
        <f>'Cash Flow Statement'!E25</f>
        <v>0</v>
      </c>
      <c r="F91" s="21">
        <f>'Cash Flow Statement'!F25</f>
        <v>0</v>
      </c>
      <c r="G91" s="21">
        <f>'Cash Flow Statement'!G25</f>
        <v>0</v>
      </c>
      <c r="H91" s="21">
        <f>'Cash Flow Statement'!H25</f>
        <v>0</v>
      </c>
      <c r="I91" s="21">
        <f>'Cash Flow Statement'!I25</f>
        <v>0</v>
      </c>
      <c r="J91" s="21">
        <f>'Cash Flow Statement'!J25</f>
        <v>0</v>
      </c>
      <c r="K91" s="21">
        <f>'Cash Flow Statement'!K25</f>
        <v>0</v>
      </c>
      <c r="L91" s="21">
        <f>'Cash Flow Statement'!L25</f>
        <v>0</v>
      </c>
      <c r="M91" s="21">
        <f>'Cash Flow Statement'!M25</f>
        <v>0</v>
      </c>
    </row>
    <row r="92" spans="2:14" ht="14.25" customHeight="1" x14ac:dyDescent="0.3">
      <c r="B92" s="8" t="s">
        <v>68</v>
      </c>
      <c r="C92" s="21">
        <f>'Cash Flow Statement'!C26</f>
        <v>161</v>
      </c>
      <c r="D92" s="21">
        <f>'Cash Flow Statement'!D26</f>
        <v>20</v>
      </c>
      <c r="E92" s="21">
        <f>'Cash Flow Statement'!E26</f>
        <v>73</v>
      </c>
      <c r="F92" s="21">
        <f>'Cash Flow Statement'!F26</f>
        <v>0</v>
      </c>
      <c r="G92" s="21">
        <f>'Cash Flow Statement'!G26</f>
        <v>0</v>
      </c>
      <c r="H92" s="21">
        <f>'Cash Flow Statement'!H26</f>
        <v>0</v>
      </c>
      <c r="I92" s="21">
        <f>'Cash Flow Statement'!I26</f>
        <v>0</v>
      </c>
      <c r="J92" s="21">
        <f>'Cash Flow Statement'!J26</f>
        <v>0</v>
      </c>
      <c r="K92" s="21">
        <f>'Cash Flow Statement'!K26</f>
        <v>0</v>
      </c>
      <c r="L92" s="21">
        <f>'Cash Flow Statement'!L26</f>
        <v>0</v>
      </c>
      <c r="M92" s="21">
        <f>'Cash Flow Statement'!M26</f>
        <v>0</v>
      </c>
    </row>
    <row r="93" spans="2:14" ht="14.25" customHeight="1" x14ac:dyDescent="0.3">
      <c r="B93" s="8" t="s">
        <v>69</v>
      </c>
      <c r="C93" s="21">
        <f>'Cash Flow Statement'!C27</f>
        <v>0</v>
      </c>
      <c r="D93" s="21">
        <f>'Cash Flow Statement'!D27</f>
        <v>0</v>
      </c>
      <c r="E93" s="21">
        <f>'Cash Flow Statement'!E27</f>
        <v>0</v>
      </c>
      <c r="F93" s="21">
        <f>'Cash Flow Statement'!F27</f>
        <v>0</v>
      </c>
      <c r="G93" s="21">
        <f>'Cash Flow Statement'!G27</f>
        <v>0</v>
      </c>
      <c r="H93" s="21">
        <f>'Cash Flow Statement'!H27</f>
        <v>0</v>
      </c>
      <c r="I93" s="21">
        <f>'Cash Flow Statement'!I27</f>
        <v>0</v>
      </c>
      <c r="J93" s="21">
        <f>'Cash Flow Statement'!J27</f>
        <v>-334</v>
      </c>
      <c r="K93" s="21">
        <f>'Cash Flow Statement'!K27</f>
        <v>0</v>
      </c>
      <c r="L93" s="21">
        <f>'Cash Flow Statement'!L27</f>
        <v>0</v>
      </c>
      <c r="M93" s="21">
        <f>'Cash Flow Statement'!M27</f>
        <v>0</v>
      </c>
    </row>
    <row r="94" spans="2:14" ht="14.25" customHeight="1" x14ac:dyDescent="0.3">
      <c r="B94" s="24" t="s">
        <v>70</v>
      </c>
      <c r="C94" s="25">
        <f t="shared" ref="C94:L94" si="24">SUM(C84:C93)</f>
        <v>69</v>
      </c>
      <c r="D94" s="25">
        <f t="shared" si="24"/>
        <v>-1770</v>
      </c>
      <c r="E94" s="25">
        <f t="shared" si="24"/>
        <v>549</v>
      </c>
      <c r="F94" s="25">
        <f t="shared" si="24"/>
        <v>-138</v>
      </c>
      <c r="G94" s="25">
        <f t="shared" si="24"/>
        <v>1142</v>
      </c>
      <c r="H94" s="25">
        <f t="shared" si="24"/>
        <v>-5222</v>
      </c>
      <c r="I94" s="25">
        <f t="shared" si="24"/>
        <v>-1627</v>
      </c>
      <c r="J94" s="25">
        <f t="shared" si="24"/>
        <v>-271</v>
      </c>
      <c r="K94" s="25">
        <f t="shared" si="24"/>
        <v>-2520</v>
      </c>
      <c r="L94" s="25">
        <f t="shared" si="24"/>
        <v>603</v>
      </c>
    </row>
    <row r="96" spans="2:14" ht="14.25" customHeight="1" x14ac:dyDescent="0.3">
      <c r="B96" s="24" t="s">
        <v>71</v>
      </c>
    </row>
    <row r="97" spans="2:12" ht="14.25" customHeight="1" x14ac:dyDescent="0.3">
      <c r="B97" s="8" t="s">
        <v>72</v>
      </c>
      <c r="C97" s="21">
        <f>'Cash Flow Statement'!C31</f>
        <v>0</v>
      </c>
      <c r="D97" s="21">
        <f>'Cash Flow Statement'!D31</f>
        <v>0</v>
      </c>
      <c r="E97" s="21">
        <f>'Cash Flow Statement'!E31</f>
        <v>0</v>
      </c>
      <c r="F97" s="21">
        <f>'Cash Flow Statement'!F31</f>
        <v>0</v>
      </c>
      <c r="G97" s="21">
        <f>'Cash Flow Statement'!G31</f>
        <v>0</v>
      </c>
      <c r="H97" s="21">
        <f>'Cash Flow Statement'!H31</f>
        <v>0</v>
      </c>
      <c r="I97" s="21">
        <f>'Cash Flow Statement'!I31</f>
        <v>0</v>
      </c>
      <c r="J97" s="21">
        <f>'Cash Flow Statement'!J31</f>
        <v>0</v>
      </c>
      <c r="K97" s="21">
        <f>'Cash Flow Statement'!K31</f>
        <v>0</v>
      </c>
      <c r="L97" s="21">
        <f>'Cash Flow Statement'!L31</f>
        <v>0</v>
      </c>
    </row>
    <row r="98" spans="2:12" ht="14.25" customHeight="1" x14ac:dyDescent="0.3">
      <c r="B98" s="8" t="s">
        <v>73</v>
      </c>
      <c r="C98" s="21">
        <f>'Cash Flow Statement'!C32</f>
        <v>177</v>
      </c>
      <c r="D98" s="21">
        <f>'Cash Flow Statement'!D32</f>
        <v>460</v>
      </c>
      <c r="E98" s="21">
        <f>'Cash Flow Statement'!E32</f>
        <v>0</v>
      </c>
      <c r="F98" s="21">
        <f>'Cash Flow Statement'!F32</f>
        <v>99</v>
      </c>
      <c r="G98" s="21">
        <f>'Cash Flow Statement'!G32</f>
        <v>0</v>
      </c>
      <c r="H98" s="21">
        <f>'Cash Flow Statement'!H32</f>
        <v>188</v>
      </c>
      <c r="I98" s="21">
        <f>'Cash Flow Statement'!I32</f>
        <v>55</v>
      </c>
      <c r="J98" s="21">
        <f>'Cash Flow Statement'!J32</f>
        <v>286</v>
      </c>
      <c r="K98" s="21">
        <f>'Cash Flow Statement'!K32</f>
        <v>0</v>
      </c>
      <c r="L98" s="21">
        <f>'Cash Flow Statement'!L32</f>
        <v>0</v>
      </c>
    </row>
    <row r="99" spans="2:12" ht="14.25" customHeight="1" x14ac:dyDescent="0.3">
      <c r="B99" s="8" t="s">
        <v>74</v>
      </c>
      <c r="C99" s="21">
        <f>'Cash Flow Statement'!C33</f>
        <v>0</v>
      </c>
      <c r="D99" s="21">
        <f>'Cash Flow Statement'!D33</f>
        <v>-360</v>
      </c>
      <c r="E99" s="21">
        <f>'Cash Flow Statement'!E33</f>
        <v>-277</v>
      </c>
      <c r="F99" s="21">
        <f>'Cash Flow Statement'!F33</f>
        <v>0</v>
      </c>
      <c r="G99" s="21">
        <f>'Cash Flow Statement'!G33</f>
        <v>-99</v>
      </c>
      <c r="H99" s="21">
        <f>'Cash Flow Statement'!H33</f>
        <v>-188</v>
      </c>
      <c r="I99" s="21">
        <f>'Cash Flow Statement'!I33</f>
        <v>-55</v>
      </c>
      <c r="J99" s="21">
        <f>'Cash Flow Statement'!J33</f>
        <v>-208</v>
      </c>
      <c r="K99" s="21">
        <f>'Cash Flow Statement'!K33</f>
        <v>-85</v>
      </c>
      <c r="L99" s="21">
        <f>'Cash Flow Statement'!L33</f>
        <v>0</v>
      </c>
    </row>
    <row r="100" spans="2:12" ht="14.25" customHeight="1" x14ac:dyDescent="0.3">
      <c r="B100" s="8" t="s">
        <v>75</v>
      </c>
      <c r="C100" s="21">
        <f>'Cash Flow Statement'!C34</f>
        <v>-2</v>
      </c>
      <c r="D100" s="21">
        <f>'Cash Flow Statement'!D34</f>
        <v>-14</v>
      </c>
      <c r="E100" s="21">
        <f>'Cash Flow Statement'!E34</f>
        <v>-6</v>
      </c>
      <c r="F100" s="21">
        <f>'Cash Flow Statement'!F34</f>
        <v>-7</v>
      </c>
      <c r="G100" s="21">
        <f>'Cash Flow Statement'!G34</f>
        <v>-90</v>
      </c>
      <c r="H100" s="21">
        <f>'Cash Flow Statement'!H34</f>
        <v>-92</v>
      </c>
      <c r="I100" s="21">
        <f>'Cash Flow Statement'!I34</f>
        <v>-82</v>
      </c>
      <c r="J100" s="21">
        <f>'Cash Flow Statement'!J34</f>
        <v>-88</v>
      </c>
      <c r="K100" s="21">
        <f>'Cash Flow Statement'!K34</f>
        <v>-110</v>
      </c>
      <c r="L100" s="21">
        <f>'Cash Flow Statement'!L34</f>
        <v>-130</v>
      </c>
    </row>
    <row r="101" spans="2:12" ht="14.25" customHeight="1" x14ac:dyDescent="0.3">
      <c r="B101" s="8" t="s">
        <v>76</v>
      </c>
      <c r="C101" s="21">
        <f>'Cash Flow Statement'!C35</f>
        <v>-3354</v>
      </c>
      <c r="D101" s="21">
        <f>'Cash Flow Statement'!D35</f>
        <v>-3572</v>
      </c>
      <c r="E101" s="21">
        <f>'Cash Flow Statement'!E35</f>
        <v>-3911</v>
      </c>
      <c r="F101" s="21">
        <f>'Cash Flow Statement'!F35</f>
        <v>-4554</v>
      </c>
      <c r="G101" s="21">
        <f>'Cash Flow Statement'!G35</f>
        <v>-5196</v>
      </c>
      <c r="H101" s="21">
        <f>'Cash Flow Statement'!H35</f>
        <v>-8811</v>
      </c>
      <c r="I101" s="21">
        <f>'Cash Flow Statement'!I35</f>
        <v>-7526</v>
      </c>
      <c r="J101" s="21">
        <f>'Cash Flow Statement'!J35</f>
        <v>-8474</v>
      </c>
      <c r="K101" s="21">
        <f>'Cash Flow Statement'!K35</f>
        <v>-9416</v>
      </c>
      <c r="L101" s="21">
        <f>'Cash Flow Statement'!L35</f>
        <v>-12473</v>
      </c>
    </row>
    <row r="102" spans="2:12" ht="14.25" customHeight="1" x14ac:dyDescent="0.3">
      <c r="B102" s="8" t="s">
        <v>77</v>
      </c>
      <c r="C102" s="21">
        <f>'Cash Flow Statement'!C36</f>
        <v>0</v>
      </c>
      <c r="D102" s="21">
        <f>'Cash Flow Statement'!D36</f>
        <v>0</v>
      </c>
      <c r="E102" s="21">
        <f>'Cash Flow Statement'!E36</f>
        <v>0</v>
      </c>
      <c r="F102" s="21">
        <f>'Cash Flow Statement'!F36</f>
        <v>0</v>
      </c>
      <c r="G102" s="21">
        <f>'Cash Flow Statement'!G36</f>
        <v>-373</v>
      </c>
      <c r="H102" s="21">
        <f>'Cash Flow Statement'!H36</f>
        <v>-406</v>
      </c>
      <c r="I102" s="21">
        <f>'Cash Flow Statement'!I36</f>
        <v>-407</v>
      </c>
      <c r="J102" s="21">
        <f>'Cash Flow Statement'!J36</f>
        <v>-467</v>
      </c>
      <c r="K102" s="21">
        <f>'Cash Flow Statement'!K36</f>
        <v>-423</v>
      </c>
      <c r="L102" s="21">
        <f>'Cash Flow Statement'!L36</f>
        <v>-498</v>
      </c>
    </row>
    <row r="103" spans="2:12" ht="14.25" customHeight="1" x14ac:dyDescent="0.3">
      <c r="B103" s="8" t="s">
        <v>78</v>
      </c>
      <c r="C103" s="21">
        <f>'Cash Flow Statement'!C37</f>
        <v>-685</v>
      </c>
      <c r="D103" s="21">
        <f>'Cash Flow Statement'!D37</f>
        <v>-728</v>
      </c>
      <c r="E103" s="21">
        <f>'Cash Flow Statement'!E37</f>
        <v>-781</v>
      </c>
      <c r="F103" s="21">
        <f>'Cash Flow Statement'!F37</f>
        <v>-928</v>
      </c>
      <c r="G103" s="21">
        <f>'Cash Flow Statement'!G37</f>
        <v>-1061</v>
      </c>
      <c r="H103" s="21">
        <f>'Cash Flow Statement'!H37</f>
        <v>0</v>
      </c>
      <c r="I103" s="21">
        <f>'Cash Flow Statement'!I37</f>
        <v>0</v>
      </c>
      <c r="J103" s="21">
        <f>'Cash Flow Statement'!J37</f>
        <v>-2</v>
      </c>
      <c r="K103" s="21">
        <f>'Cash Flow Statement'!K37</f>
        <v>0</v>
      </c>
      <c r="L103" s="21">
        <f>'Cash Flow Statement'!L37</f>
        <v>0</v>
      </c>
    </row>
    <row r="104" spans="2:12" ht="14.25" customHeight="1" x14ac:dyDescent="0.3">
      <c r="B104" s="24" t="s">
        <v>79</v>
      </c>
      <c r="C104" s="25">
        <f t="shared" ref="C104:L104" si="25">SUM(C97:C103)</f>
        <v>-3864</v>
      </c>
      <c r="D104" s="25">
        <f t="shared" si="25"/>
        <v>-4214</v>
      </c>
      <c r="E104" s="25">
        <f t="shared" si="25"/>
        <v>-4975</v>
      </c>
      <c r="F104" s="25">
        <f t="shared" si="25"/>
        <v>-5390</v>
      </c>
      <c r="G104" s="25">
        <f t="shared" si="25"/>
        <v>-6819</v>
      </c>
      <c r="H104" s="25">
        <f t="shared" si="25"/>
        <v>-9309</v>
      </c>
      <c r="I104" s="25">
        <f t="shared" si="25"/>
        <v>-8015</v>
      </c>
      <c r="J104" s="25">
        <f t="shared" si="25"/>
        <v>-8953</v>
      </c>
      <c r="K104" s="25">
        <f t="shared" si="25"/>
        <v>-10034</v>
      </c>
      <c r="L104" s="25">
        <f t="shared" si="25"/>
        <v>-13101</v>
      </c>
    </row>
    <row r="105" spans="2:12" ht="14.25" customHeight="1" x14ac:dyDescent="0.3">
      <c r="B105" s="24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spans="2:12" ht="14.25" customHeight="1" x14ac:dyDescent="0.3">
      <c r="B106" s="8" t="s">
        <v>80</v>
      </c>
      <c r="C106" s="25">
        <f t="shared" ref="C106:L106" si="26">C81+C94+C104</f>
        <v>-3803</v>
      </c>
      <c r="D106" s="25">
        <f t="shared" si="26"/>
        <v>-6005</v>
      </c>
      <c r="E106" s="25">
        <f t="shared" si="26"/>
        <v>-4426</v>
      </c>
      <c r="F106" s="25">
        <f t="shared" si="26"/>
        <v>-5528</v>
      </c>
      <c r="G106" s="25">
        <f t="shared" si="26"/>
        <v>-5677</v>
      </c>
      <c r="H106" s="25">
        <f t="shared" si="26"/>
        <v>-14531</v>
      </c>
      <c r="I106" s="25">
        <f t="shared" si="26"/>
        <v>-9642</v>
      </c>
      <c r="J106" s="25">
        <f t="shared" si="26"/>
        <v>-9224</v>
      </c>
      <c r="K106" s="25">
        <f t="shared" si="26"/>
        <v>-12554</v>
      </c>
      <c r="L106" s="25">
        <f t="shared" si="26"/>
        <v>-12498</v>
      </c>
    </row>
  </sheetData>
  <mergeCells count="1">
    <mergeCell ref="B2:M2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120" zoomScaleNormal="12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C73" sqref="C73"/>
    </sheetView>
  </sheetViews>
  <sheetFormatPr defaultColWidth="8.77734375" defaultRowHeight="14.4" x14ac:dyDescent="0.3"/>
  <cols>
    <col min="1" max="1" width="27.6640625" style="76" customWidth="1"/>
    <col min="2" max="11" width="13.44140625" style="76" customWidth="1"/>
    <col min="12" max="16384" width="8.77734375" style="76"/>
  </cols>
  <sheetData>
    <row r="1" spans="1:11" s="77" customFormat="1" ht="14.25" customHeight="1" x14ac:dyDescent="0.3">
      <c r="A1" s="77" t="s">
        <v>143</v>
      </c>
      <c r="B1" s="77" t="s">
        <v>144</v>
      </c>
      <c r="E1" s="5" t="str">
        <f>IF(B2&lt;&gt;B3, "A NEW VERSION OF THE WORKSHEET IS AVAILABLE", "")</f>
        <v/>
      </c>
      <c r="F1" s="5"/>
      <c r="G1" s="5"/>
      <c r="H1" s="5"/>
      <c r="I1" s="5"/>
      <c r="J1" s="5"/>
      <c r="K1" s="5"/>
    </row>
    <row r="2" spans="1:11" ht="14.25" customHeight="1" x14ac:dyDescent="0.3">
      <c r="A2" s="77" t="s">
        <v>145</v>
      </c>
      <c r="B2" s="76">
        <v>2.1</v>
      </c>
      <c r="E2" s="4" t="s">
        <v>146</v>
      </c>
      <c r="F2" s="4"/>
      <c r="G2" s="4"/>
      <c r="H2" s="4"/>
      <c r="I2" s="4"/>
      <c r="J2" s="4"/>
      <c r="K2" s="4"/>
    </row>
    <row r="3" spans="1:11" ht="14.25" customHeight="1" x14ac:dyDescent="0.3">
      <c r="A3" s="77" t="s">
        <v>147</v>
      </c>
      <c r="B3" s="76">
        <v>2.1</v>
      </c>
    </row>
    <row r="4" spans="1:11" ht="14.25" customHeight="1" x14ac:dyDescent="0.3">
      <c r="A4" s="77"/>
    </row>
    <row r="5" spans="1:11" ht="14.25" customHeight="1" x14ac:dyDescent="0.3">
      <c r="A5" s="77" t="s">
        <v>148</v>
      </c>
    </row>
    <row r="6" spans="1:11" ht="14.25" customHeight="1" x14ac:dyDescent="0.3">
      <c r="A6" s="76" t="s">
        <v>149</v>
      </c>
      <c r="B6" s="76">
        <f>IF(B9&gt;0, B9/B8, 0)</f>
        <v>234.95912497657858</v>
      </c>
    </row>
    <row r="7" spans="1:11" ht="14.25" customHeight="1" x14ac:dyDescent="0.3">
      <c r="A7" s="76" t="s">
        <v>150</v>
      </c>
      <c r="B7" s="8">
        <v>1</v>
      </c>
    </row>
    <row r="8" spans="1:11" ht="14.25" customHeight="1" x14ac:dyDescent="0.3">
      <c r="A8" s="76" t="s">
        <v>151</v>
      </c>
      <c r="B8" s="8">
        <v>2134.8000000000002</v>
      </c>
    </row>
    <row r="9" spans="1:11" ht="14.25" customHeight="1" x14ac:dyDescent="0.3">
      <c r="A9" s="76" t="s">
        <v>152</v>
      </c>
      <c r="B9" s="8">
        <v>501590.74</v>
      </c>
    </row>
    <row r="15" spans="1:11" ht="14.25" customHeight="1" x14ac:dyDescent="0.3">
      <c r="A15" s="77" t="s">
        <v>153</v>
      </c>
    </row>
    <row r="16" spans="1:11" s="80" customFormat="1" ht="14.25" customHeight="1" x14ac:dyDescent="0.3">
      <c r="A16" s="78" t="s">
        <v>154</v>
      </c>
      <c r="B16" s="79">
        <v>42460</v>
      </c>
      <c r="C16" s="79">
        <v>42825</v>
      </c>
      <c r="D16" s="79">
        <v>43190</v>
      </c>
      <c r="E16" s="79">
        <v>43555</v>
      </c>
      <c r="F16" s="79">
        <v>43921</v>
      </c>
      <c r="G16" s="79">
        <v>44286</v>
      </c>
      <c r="H16" s="79">
        <v>44651</v>
      </c>
      <c r="I16" s="79">
        <v>45016</v>
      </c>
      <c r="J16" s="79">
        <v>45382</v>
      </c>
      <c r="K16" s="79">
        <v>45747</v>
      </c>
    </row>
    <row r="17" spans="1:11" ht="14.25" customHeight="1" x14ac:dyDescent="0.3">
      <c r="A17" s="76" t="s">
        <v>5</v>
      </c>
      <c r="B17" s="8">
        <v>32186</v>
      </c>
      <c r="C17" s="8">
        <v>33162</v>
      </c>
      <c r="D17" s="8">
        <v>35545</v>
      </c>
      <c r="E17" s="8">
        <v>39310</v>
      </c>
      <c r="F17" s="8">
        <v>39783</v>
      </c>
      <c r="G17" s="8">
        <v>47028</v>
      </c>
      <c r="H17" s="8">
        <v>52446</v>
      </c>
      <c r="I17" s="8">
        <v>60580</v>
      </c>
      <c r="J17" s="8">
        <v>61896</v>
      </c>
      <c r="K17" s="8">
        <v>63121</v>
      </c>
    </row>
    <row r="18" spans="1:11" ht="14.25" customHeight="1" x14ac:dyDescent="0.3">
      <c r="A18" s="76" t="s">
        <v>155</v>
      </c>
      <c r="B18" s="8">
        <v>13184</v>
      </c>
      <c r="C18" s="8">
        <v>13606</v>
      </c>
      <c r="D18" s="8">
        <v>14233</v>
      </c>
      <c r="E18" s="8">
        <v>15845</v>
      </c>
      <c r="F18" s="8">
        <v>15697</v>
      </c>
      <c r="G18" s="8">
        <v>20141</v>
      </c>
      <c r="H18" s="8">
        <v>22871</v>
      </c>
      <c r="I18" s="8">
        <v>28427</v>
      </c>
      <c r="J18" s="8">
        <v>26822</v>
      </c>
      <c r="K18" s="8">
        <v>27344</v>
      </c>
    </row>
    <row r="19" spans="1:11" ht="14.25" customHeight="1" x14ac:dyDescent="0.3">
      <c r="A19" s="76" t="s">
        <v>156</v>
      </c>
      <c r="B19" s="8">
        <v>-83</v>
      </c>
      <c r="C19" s="8">
        <v>-144</v>
      </c>
      <c r="D19" s="8">
        <v>72</v>
      </c>
      <c r="E19" s="8">
        <v>-12</v>
      </c>
      <c r="F19" s="8">
        <v>108</v>
      </c>
      <c r="G19" s="8">
        <v>405</v>
      </c>
      <c r="H19" s="8">
        <v>22</v>
      </c>
      <c r="I19" s="8">
        <v>75</v>
      </c>
      <c r="J19" s="8">
        <v>11</v>
      </c>
      <c r="K19" s="8">
        <v>153</v>
      </c>
    </row>
    <row r="20" spans="1:11" ht="14.25" customHeight="1" x14ac:dyDescent="0.3">
      <c r="A20" s="76" t="s">
        <v>157</v>
      </c>
      <c r="B20" s="8">
        <v>309</v>
      </c>
      <c r="C20" s="8">
        <v>295</v>
      </c>
      <c r="D20" s="8">
        <v>295</v>
      </c>
      <c r="E20" s="8">
        <v>308</v>
      </c>
      <c r="F20" s="8">
        <v>299</v>
      </c>
      <c r="G20" s="8">
        <v>339</v>
      </c>
      <c r="H20" s="8">
        <v>318</v>
      </c>
      <c r="I20" s="8">
        <v>384</v>
      </c>
      <c r="J20" s="8">
        <v>446</v>
      </c>
      <c r="K20" s="8">
        <v>427</v>
      </c>
    </row>
    <row r="21" spans="1:11" ht="14.25" customHeight="1" x14ac:dyDescent="0.3">
      <c r="A21" s="76" t="s">
        <v>158</v>
      </c>
      <c r="B21" s="8">
        <v>2966</v>
      </c>
      <c r="C21" s="8">
        <v>2887</v>
      </c>
      <c r="D21" s="8">
        <v>2998</v>
      </c>
      <c r="E21" s="8">
        <v>3041</v>
      </c>
      <c r="F21" s="8">
        <v>2906</v>
      </c>
      <c r="G21" s="8">
        <v>2868</v>
      </c>
      <c r="H21" s="8">
        <v>3354</v>
      </c>
      <c r="I21" s="8">
        <v>3791</v>
      </c>
      <c r="J21" s="8">
        <v>3385</v>
      </c>
      <c r="K21" s="8">
        <v>3834</v>
      </c>
    </row>
    <row r="22" spans="1:11" ht="14.25" customHeight="1" x14ac:dyDescent="0.3">
      <c r="A22" s="76" t="s">
        <v>159</v>
      </c>
      <c r="B22" s="8">
        <v>1680</v>
      </c>
      <c r="C22" s="8">
        <v>1743</v>
      </c>
      <c r="D22" s="8">
        <v>1860</v>
      </c>
      <c r="E22" s="8">
        <v>1875</v>
      </c>
      <c r="F22" s="8">
        <v>1820</v>
      </c>
      <c r="G22" s="8">
        <v>2358</v>
      </c>
      <c r="H22" s="8">
        <v>2545</v>
      </c>
      <c r="I22" s="8">
        <v>2854</v>
      </c>
      <c r="J22" s="8">
        <v>3009</v>
      </c>
      <c r="K22" s="8">
        <v>3077</v>
      </c>
    </row>
    <row r="23" spans="1:11" ht="14.25" customHeight="1" x14ac:dyDescent="0.3">
      <c r="A23" s="76" t="s">
        <v>160</v>
      </c>
      <c r="B23" s="8">
        <v>6741</v>
      </c>
      <c r="C23" s="8">
        <v>6689</v>
      </c>
      <c r="D23" s="8">
        <v>7252</v>
      </c>
      <c r="E23" s="8">
        <v>7796</v>
      </c>
      <c r="F23" s="8">
        <v>7620</v>
      </c>
      <c r="G23" s="8">
        <v>7906</v>
      </c>
      <c r="H23" s="8">
        <v>8164</v>
      </c>
      <c r="I23" s="8">
        <v>8785</v>
      </c>
      <c r="J23" s="8">
        <v>10780</v>
      </c>
      <c r="K23" s="8">
        <v>10693</v>
      </c>
    </row>
    <row r="24" spans="1:11" ht="14.25" customHeight="1" x14ac:dyDescent="0.3">
      <c r="A24" s="76" t="s">
        <v>161</v>
      </c>
      <c r="B24" s="8">
        <v>1313</v>
      </c>
      <c r="C24" s="8">
        <v>1470</v>
      </c>
      <c r="D24" s="8">
        <v>1480</v>
      </c>
      <c r="E24" s="8">
        <v>1553</v>
      </c>
      <c r="F24" s="8">
        <v>1688</v>
      </c>
      <c r="G24" s="8">
        <v>2195</v>
      </c>
      <c r="H24" s="8">
        <v>2359</v>
      </c>
      <c r="I24" s="8">
        <v>2267</v>
      </c>
      <c r="J24" s="8">
        <v>2806</v>
      </c>
      <c r="K24" s="8">
        <v>3056</v>
      </c>
    </row>
    <row r="25" spans="1:11" ht="14.25" customHeight="1" x14ac:dyDescent="0.3">
      <c r="A25" s="76" t="s">
        <v>162</v>
      </c>
      <c r="B25" s="8">
        <v>486</v>
      </c>
      <c r="C25" s="8">
        <v>606</v>
      </c>
      <c r="D25" s="8">
        <v>353</v>
      </c>
      <c r="E25" s="8">
        <v>322</v>
      </c>
      <c r="F25" s="8">
        <v>424</v>
      </c>
      <c r="G25" s="8">
        <v>170</v>
      </c>
      <c r="H25" s="8">
        <v>219</v>
      </c>
      <c r="I25" s="8">
        <v>448</v>
      </c>
      <c r="J25" s="8">
        <v>817</v>
      </c>
      <c r="K25" s="8">
        <v>1322</v>
      </c>
    </row>
    <row r="26" spans="1:11" ht="14.25" customHeight="1" x14ac:dyDescent="0.3">
      <c r="A26" s="76" t="s">
        <v>17</v>
      </c>
      <c r="B26" s="8">
        <v>353</v>
      </c>
      <c r="C26" s="8">
        <v>432</v>
      </c>
      <c r="D26" s="8">
        <v>520</v>
      </c>
      <c r="E26" s="8">
        <v>565</v>
      </c>
      <c r="F26" s="8">
        <v>1002</v>
      </c>
      <c r="G26" s="8">
        <v>1074</v>
      </c>
      <c r="H26" s="8">
        <v>1091</v>
      </c>
      <c r="I26" s="8">
        <v>1137</v>
      </c>
      <c r="J26" s="8">
        <v>1216</v>
      </c>
      <c r="K26" s="8">
        <v>1355</v>
      </c>
    </row>
    <row r="27" spans="1:11" ht="14.25" customHeight="1" x14ac:dyDescent="0.3">
      <c r="A27" s="76" t="s">
        <v>15</v>
      </c>
      <c r="B27" s="8">
        <v>17</v>
      </c>
      <c r="C27" s="8">
        <v>35</v>
      </c>
      <c r="D27" s="8">
        <v>26</v>
      </c>
      <c r="E27" s="8">
        <v>33</v>
      </c>
      <c r="F27" s="8">
        <v>118</v>
      </c>
      <c r="G27" s="8">
        <v>117</v>
      </c>
      <c r="H27" s="8">
        <v>106</v>
      </c>
      <c r="I27" s="8">
        <v>114</v>
      </c>
      <c r="J27" s="8">
        <v>334</v>
      </c>
      <c r="K27" s="8">
        <v>395</v>
      </c>
    </row>
    <row r="28" spans="1:11" ht="14.25" customHeight="1" x14ac:dyDescent="0.3">
      <c r="A28" s="76" t="s">
        <v>163</v>
      </c>
      <c r="B28" s="8">
        <v>6026</v>
      </c>
      <c r="C28" s="8">
        <v>6467</v>
      </c>
      <c r="D28" s="8">
        <v>7306</v>
      </c>
      <c r="E28" s="8">
        <v>8604</v>
      </c>
      <c r="F28" s="8">
        <v>9165</v>
      </c>
      <c r="G28" s="8">
        <v>10605</v>
      </c>
      <c r="H28" s="8">
        <v>11879</v>
      </c>
      <c r="I28" s="8">
        <v>13344</v>
      </c>
      <c r="J28" s="8">
        <v>13926</v>
      </c>
      <c r="K28" s="8">
        <v>14415</v>
      </c>
    </row>
    <row r="29" spans="1:11" ht="14.25" customHeight="1" x14ac:dyDescent="0.3">
      <c r="A29" s="76" t="s">
        <v>21</v>
      </c>
      <c r="B29" s="8">
        <v>1875</v>
      </c>
      <c r="C29" s="8">
        <v>1977</v>
      </c>
      <c r="D29" s="8">
        <v>2079</v>
      </c>
      <c r="E29" s="8">
        <v>2544</v>
      </c>
      <c r="F29" s="8">
        <v>2409</v>
      </c>
      <c r="G29" s="8">
        <v>2606</v>
      </c>
      <c r="H29" s="8">
        <v>2987</v>
      </c>
      <c r="I29" s="8">
        <v>3201</v>
      </c>
      <c r="J29" s="8">
        <v>3644</v>
      </c>
      <c r="K29" s="8">
        <v>3744</v>
      </c>
    </row>
    <row r="30" spans="1:11" ht="14.25" customHeight="1" x14ac:dyDescent="0.3">
      <c r="A30" s="76" t="s">
        <v>164</v>
      </c>
      <c r="B30" s="8">
        <v>4151</v>
      </c>
      <c r="C30" s="8">
        <v>4476</v>
      </c>
      <c r="D30" s="8">
        <v>5214</v>
      </c>
      <c r="E30" s="8">
        <v>6054</v>
      </c>
      <c r="F30" s="8">
        <v>6748</v>
      </c>
      <c r="G30" s="8">
        <v>7995</v>
      </c>
      <c r="H30" s="8">
        <v>8879</v>
      </c>
      <c r="I30" s="8">
        <v>10120</v>
      </c>
      <c r="J30" s="8">
        <v>10277</v>
      </c>
      <c r="K30" s="8">
        <v>10649</v>
      </c>
    </row>
    <row r="31" spans="1:11" ht="14.25" customHeight="1" x14ac:dyDescent="0.3">
      <c r="A31" s="76" t="s">
        <v>165</v>
      </c>
      <c r="B31" s="8">
        <v>3456</v>
      </c>
      <c r="C31" s="8">
        <v>3672</v>
      </c>
      <c r="D31" s="8">
        <v>4320</v>
      </c>
      <c r="E31" s="8">
        <v>4752</v>
      </c>
      <c r="F31" s="8">
        <v>5400</v>
      </c>
      <c r="G31" s="8">
        <v>9517.5</v>
      </c>
      <c r="H31" s="8">
        <v>7990</v>
      </c>
      <c r="I31" s="8">
        <v>9165</v>
      </c>
      <c r="J31" s="8">
        <v>9870</v>
      </c>
      <c r="K31" s="8">
        <v>12455</v>
      </c>
    </row>
    <row r="40" spans="1:11" ht="14.25" customHeight="1" x14ac:dyDescent="0.3">
      <c r="A40" s="77" t="s">
        <v>166</v>
      </c>
    </row>
    <row r="41" spans="1:11" s="80" customFormat="1" ht="14.25" customHeight="1" x14ac:dyDescent="0.3">
      <c r="A41" s="78" t="s">
        <v>154</v>
      </c>
      <c r="B41" s="79">
        <v>45199</v>
      </c>
      <c r="C41" s="79">
        <v>45291</v>
      </c>
      <c r="D41" s="79">
        <v>45382</v>
      </c>
      <c r="E41" s="79">
        <v>45473</v>
      </c>
      <c r="F41" s="79">
        <v>45565</v>
      </c>
      <c r="G41" s="79">
        <v>45657</v>
      </c>
      <c r="H41" s="79">
        <v>45747</v>
      </c>
      <c r="I41" s="79">
        <v>45838</v>
      </c>
      <c r="J41" s="79">
        <v>45930</v>
      </c>
      <c r="K41" s="79">
        <v>46022</v>
      </c>
    </row>
    <row r="42" spans="1:11" ht="14.25" customHeight="1" x14ac:dyDescent="0.3">
      <c r="A42" s="76" t="s">
        <v>5</v>
      </c>
      <c r="B42" s="8">
        <v>15623</v>
      </c>
      <c r="C42" s="8">
        <v>15567</v>
      </c>
      <c r="D42" s="8">
        <v>15210</v>
      </c>
      <c r="E42" s="8">
        <v>15707</v>
      </c>
      <c r="F42" s="8">
        <v>15926</v>
      </c>
      <c r="G42" s="8">
        <v>15556</v>
      </c>
      <c r="H42" s="8">
        <v>15670</v>
      </c>
      <c r="I42" s="8">
        <v>16514</v>
      </c>
      <c r="J42" s="8">
        <v>15919</v>
      </c>
      <c r="K42" s="8">
        <v>16441</v>
      </c>
    </row>
    <row r="43" spans="1:11" ht="14.25" customHeight="1" x14ac:dyDescent="0.3">
      <c r="A43" s="76" t="s">
        <v>167</v>
      </c>
      <c r="B43" s="8">
        <v>11828</v>
      </c>
      <c r="C43" s="8">
        <v>11902</v>
      </c>
      <c r="D43" s="8">
        <v>11675</v>
      </c>
      <c r="E43" s="8">
        <v>11965</v>
      </c>
      <c r="F43" s="8">
        <v>12139</v>
      </c>
      <c r="G43" s="8">
        <v>11867</v>
      </c>
      <c r="H43" s="8">
        <v>12052</v>
      </c>
      <c r="I43" s="8">
        <v>12797</v>
      </c>
      <c r="J43" s="8">
        <v>12137</v>
      </c>
      <c r="K43" s="8">
        <v>12660</v>
      </c>
    </row>
    <row r="44" spans="1:11" ht="14.25" customHeight="1" x14ac:dyDescent="0.3">
      <c r="A44" s="76" t="s">
        <v>162</v>
      </c>
      <c r="B44" s="8">
        <v>178</v>
      </c>
      <c r="C44" s="8">
        <v>184</v>
      </c>
      <c r="D44" s="8">
        <v>309</v>
      </c>
      <c r="E44" s="8">
        <v>209</v>
      </c>
      <c r="F44" s="8">
        <v>203</v>
      </c>
      <c r="G44" s="8">
        <v>733</v>
      </c>
      <c r="H44" s="8">
        <v>171</v>
      </c>
      <c r="I44" s="8">
        <v>74</v>
      </c>
      <c r="J44" s="8">
        <v>269</v>
      </c>
      <c r="K44" s="8">
        <v>4048</v>
      </c>
    </row>
    <row r="45" spans="1:11" ht="14.25" customHeight="1" x14ac:dyDescent="0.3">
      <c r="A45" s="76" t="s">
        <v>17</v>
      </c>
      <c r="B45" s="8">
        <v>297</v>
      </c>
      <c r="C45" s="8">
        <v>313</v>
      </c>
      <c r="D45" s="8">
        <v>320</v>
      </c>
      <c r="E45" s="8">
        <v>329</v>
      </c>
      <c r="F45" s="8">
        <v>338</v>
      </c>
      <c r="G45" s="8">
        <v>318</v>
      </c>
      <c r="H45" s="8">
        <v>347</v>
      </c>
      <c r="I45" s="8">
        <v>361</v>
      </c>
      <c r="J45" s="8">
        <v>322</v>
      </c>
      <c r="K45" s="8">
        <v>337</v>
      </c>
    </row>
    <row r="46" spans="1:11" ht="14.25" customHeight="1" x14ac:dyDescent="0.3">
      <c r="A46" s="76" t="s">
        <v>15</v>
      </c>
      <c r="B46" s="8">
        <v>88</v>
      </c>
      <c r="C46" s="8">
        <v>91</v>
      </c>
      <c r="D46" s="8">
        <v>105</v>
      </c>
      <c r="E46" s="8">
        <v>93</v>
      </c>
      <c r="F46" s="8">
        <v>110</v>
      </c>
      <c r="G46" s="8">
        <v>109</v>
      </c>
      <c r="H46" s="8">
        <v>80</v>
      </c>
      <c r="I46" s="8">
        <v>127</v>
      </c>
      <c r="J46" s="8">
        <v>124</v>
      </c>
      <c r="K46" s="8">
        <v>88</v>
      </c>
    </row>
    <row r="47" spans="1:11" ht="14.25" customHeight="1" x14ac:dyDescent="0.3">
      <c r="A47" s="76" t="s">
        <v>163</v>
      </c>
      <c r="B47" s="8">
        <v>3588</v>
      </c>
      <c r="C47" s="8">
        <v>3445</v>
      </c>
      <c r="D47" s="8">
        <v>3419</v>
      </c>
      <c r="E47" s="8">
        <v>3529</v>
      </c>
      <c r="F47" s="8">
        <v>3542</v>
      </c>
      <c r="G47" s="8">
        <v>3995</v>
      </c>
      <c r="H47" s="8">
        <v>3362</v>
      </c>
      <c r="I47" s="8">
        <v>3303</v>
      </c>
      <c r="J47" s="8">
        <v>3605</v>
      </c>
      <c r="K47" s="8">
        <v>7404</v>
      </c>
    </row>
    <row r="48" spans="1:11" ht="14.25" customHeight="1" x14ac:dyDescent="0.3">
      <c r="A48" s="76" t="s">
        <v>21</v>
      </c>
      <c r="B48" s="8">
        <v>931</v>
      </c>
      <c r="C48" s="8">
        <v>937</v>
      </c>
      <c r="D48" s="8">
        <v>858</v>
      </c>
      <c r="E48" s="8">
        <v>917</v>
      </c>
      <c r="F48" s="8">
        <v>947</v>
      </c>
      <c r="G48" s="8">
        <v>1006</v>
      </c>
      <c r="H48" s="8">
        <v>887</v>
      </c>
      <c r="I48" s="8">
        <v>535</v>
      </c>
      <c r="J48" s="8">
        <v>911</v>
      </c>
      <c r="K48" s="8">
        <v>801</v>
      </c>
    </row>
    <row r="49" spans="1:11" ht="14.25" customHeight="1" x14ac:dyDescent="0.3">
      <c r="A49" s="76" t="s">
        <v>164</v>
      </c>
      <c r="B49" s="8">
        <v>2656</v>
      </c>
      <c r="C49" s="8">
        <v>2509</v>
      </c>
      <c r="D49" s="8">
        <v>2558</v>
      </c>
      <c r="E49" s="8">
        <v>2610</v>
      </c>
      <c r="F49" s="8">
        <v>2591</v>
      </c>
      <c r="G49" s="8">
        <v>2984</v>
      </c>
      <c r="H49" s="8">
        <v>2464</v>
      </c>
      <c r="I49" s="8">
        <v>2756</v>
      </c>
      <c r="J49" s="8">
        <v>2685</v>
      </c>
      <c r="K49" s="8">
        <v>6607</v>
      </c>
    </row>
    <row r="50" spans="1:11" ht="14.25" customHeight="1" x14ac:dyDescent="0.3">
      <c r="A50" s="76" t="s">
        <v>168</v>
      </c>
      <c r="B50" s="8">
        <v>3795</v>
      </c>
      <c r="C50" s="8">
        <v>3665</v>
      </c>
      <c r="D50" s="8">
        <v>3535</v>
      </c>
      <c r="E50" s="8">
        <v>3742</v>
      </c>
      <c r="F50" s="8">
        <v>3787</v>
      </c>
      <c r="G50" s="8">
        <v>3689</v>
      </c>
      <c r="H50" s="8">
        <v>3618</v>
      </c>
      <c r="I50" s="8">
        <v>3717</v>
      </c>
      <c r="J50" s="8">
        <v>3782</v>
      </c>
      <c r="K50" s="8">
        <v>3781</v>
      </c>
    </row>
    <row r="55" spans="1:11" ht="14.25" customHeight="1" x14ac:dyDescent="0.3">
      <c r="A55" s="77" t="s">
        <v>169</v>
      </c>
    </row>
    <row r="56" spans="1:11" s="80" customFormat="1" ht="14.25" customHeight="1" x14ac:dyDescent="0.3">
      <c r="A56" s="78" t="s">
        <v>154</v>
      </c>
      <c r="B56" s="79">
        <v>42460</v>
      </c>
      <c r="C56" s="79">
        <v>42825</v>
      </c>
      <c r="D56" s="79">
        <v>43190</v>
      </c>
      <c r="E56" s="79">
        <v>43555</v>
      </c>
      <c r="F56" s="79">
        <v>43921</v>
      </c>
      <c r="G56" s="79">
        <v>44286</v>
      </c>
      <c r="H56" s="79">
        <v>44651</v>
      </c>
      <c r="I56" s="79">
        <v>45016</v>
      </c>
      <c r="J56" s="79">
        <v>45382</v>
      </c>
      <c r="K56" s="79">
        <v>45747</v>
      </c>
    </row>
    <row r="57" spans="1:11" ht="14.25" customHeight="1" x14ac:dyDescent="0.3">
      <c r="A57" s="76" t="s">
        <v>32</v>
      </c>
      <c r="B57" s="8">
        <v>216</v>
      </c>
      <c r="C57" s="8">
        <v>216</v>
      </c>
      <c r="D57" s="8">
        <v>216</v>
      </c>
      <c r="E57" s="8">
        <v>216</v>
      </c>
      <c r="F57" s="8">
        <v>216</v>
      </c>
      <c r="G57" s="8">
        <v>235</v>
      </c>
      <c r="H57" s="8">
        <v>235</v>
      </c>
      <c r="I57" s="8">
        <v>235</v>
      </c>
      <c r="J57" s="8">
        <v>235</v>
      </c>
      <c r="K57" s="8">
        <v>235</v>
      </c>
    </row>
    <row r="58" spans="1:11" ht="14.25" customHeight="1" x14ac:dyDescent="0.3">
      <c r="A58" s="76" t="s">
        <v>33</v>
      </c>
      <c r="B58" s="8">
        <v>6357</v>
      </c>
      <c r="C58" s="8">
        <v>6528</v>
      </c>
      <c r="D58" s="8">
        <v>7065</v>
      </c>
      <c r="E58" s="8">
        <v>7651</v>
      </c>
      <c r="F58" s="8">
        <v>8013</v>
      </c>
      <c r="G58" s="8">
        <v>47439</v>
      </c>
      <c r="H58" s="8">
        <v>48826</v>
      </c>
      <c r="I58" s="8">
        <v>50069</v>
      </c>
      <c r="J58" s="8">
        <v>50983</v>
      </c>
      <c r="K58" s="8">
        <v>49167</v>
      </c>
    </row>
    <row r="59" spans="1:11" ht="14.25" customHeight="1" x14ac:dyDescent="0.3">
      <c r="A59" s="76" t="s">
        <v>34</v>
      </c>
      <c r="B59" s="8">
        <v>177</v>
      </c>
      <c r="C59" s="8">
        <v>277</v>
      </c>
      <c r="D59" s="8"/>
      <c r="E59" s="8">
        <v>99</v>
      </c>
      <c r="F59" s="8"/>
      <c r="G59" s="8"/>
      <c r="H59" s="8">
        <v>1043</v>
      </c>
      <c r="I59" s="8">
        <v>1219</v>
      </c>
      <c r="J59" s="8">
        <v>1484</v>
      </c>
      <c r="K59" s="8">
        <v>1648</v>
      </c>
    </row>
    <row r="60" spans="1:11" ht="14.25" customHeight="1" x14ac:dyDescent="0.3">
      <c r="A60" s="76" t="s">
        <v>35</v>
      </c>
      <c r="B60" s="8">
        <v>8043</v>
      </c>
      <c r="C60" s="8">
        <v>8685</v>
      </c>
      <c r="D60" s="8">
        <v>10581</v>
      </c>
      <c r="E60" s="8">
        <v>10663</v>
      </c>
      <c r="F60" s="8">
        <v>11924</v>
      </c>
      <c r="G60" s="8">
        <v>21066</v>
      </c>
      <c r="H60" s="8">
        <v>20402</v>
      </c>
      <c r="I60" s="8">
        <v>21554</v>
      </c>
      <c r="J60" s="8">
        <v>25787</v>
      </c>
      <c r="K60" s="8">
        <v>28813</v>
      </c>
    </row>
    <row r="61" spans="1:11" s="77" customFormat="1" ht="14.25" customHeight="1" x14ac:dyDescent="0.3">
      <c r="A61" s="77" t="s">
        <v>170</v>
      </c>
      <c r="B61" s="8">
        <v>14793</v>
      </c>
      <c r="C61" s="8">
        <v>15706</v>
      </c>
      <c r="D61" s="8">
        <v>17862</v>
      </c>
      <c r="E61" s="8">
        <v>18629</v>
      </c>
      <c r="F61" s="8">
        <v>20153</v>
      </c>
      <c r="G61" s="8">
        <v>68740</v>
      </c>
      <c r="H61" s="8">
        <v>70506</v>
      </c>
      <c r="I61" s="8">
        <v>73077</v>
      </c>
      <c r="J61" s="8">
        <v>78489</v>
      </c>
      <c r="K61" s="8">
        <v>79863</v>
      </c>
    </row>
    <row r="62" spans="1:11" ht="14.25" customHeight="1" x14ac:dyDescent="0.3">
      <c r="A62" s="76" t="s">
        <v>126</v>
      </c>
      <c r="B62" s="8">
        <v>3258</v>
      </c>
      <c r="C62" s="8">
        <v>4419</v>
      </c>
      <c r="D62" s="8">
        <v>4528</v>
      </c>
      <c r="E62" s="8">
        <v>4715</v>
      </c>
      <c r="F62" s="8">
        <v>5479</v>
      </c>
      <c r="G62" s="8">
        <v>51443</v>
      </c>
      <c r="H62" s="8">
        <v>51473</v>
      </c>
      <c r="I62" s="8">
        <v>52678</v>
      </c>
      <c r="J62" s="8">
        <v>53744</v>
      </c>
      <c r="K62" s="8">
        <v>54335</v>
      </c>
    </row>
    <row r="63" spans="1:11" ht="14.25" customHeight="1" x14ac:dyDescent="0.3">
      <c r="A63" s="76" t="s">
        <v>38</v>
      </c>
      <c r="B63" s="8">
        <v>408</v>
      </c>
      <c r="C63" s="8">
        <v>229</v>
      </c>
      <c r="D63" s="8">
        <v>461</v>
      </c>
      <c r="E63" s="8">
        <v>406</v>
      </c>
      <c r="F63" s="8">
        <v>597</v>
      </c>
      <c r="G63" s="8">
        <v>745</v>
      </c>
      <c r="H63" s="8">
        <v>1313</v>
      </c>
      <c r="I63" s="8">
        <v>1132</v>
      </c>
      <c r="J63" s="8">
        <v>1025</v>
      </c>
      <c r="K63" s="8">
        <v>1009</v>
      </c>
    </row>
    <row r="64" spans="1:11" ht="14.25" customHeight="1" x14ac:dyDescent="0.3">
      <c r="A64" s="76" t="s">
        <v>39</v>
      </c>
      <c r="B64" s="8">
        <v>2592</v>
      </c>
      <c r="C64" s="8">
        <v>3794</v>
      </c>
      <c r="D64" s="8">
        <v>2873</v>
      </c>
      <c r="E64" s="8">
        <v>2716</v>
      </c>
      <c r="F64" s="8">
        <v>1255</v>
      </c>
      <c r="G64" s="8">
        <v>2709</v>
      </c>
      <c r="H64" s="8">
        <v>3521</v>
      </c>
      <c r="I64" s="8">
        <v>2882</v>
      </c>
      <c r="J64" s="8">
        <v>4625</v>
      </c>
      <c r="K64" s="8">
        <v>3810</v>
      </c>
    </row>
    <row r="65" spans="1:11" ht="14.25" customHeight="1" x14ac:dyDescent="0.3">
      <c r="A65" s="76" t="s">
        <v>40</v>
      </c>
      <c r="B65" s="8">
        <v>8535</v>
      </c>
      <c r="C65" s="8">
        <v>7264</v>
      </c>
      <c r="D65" s="8">
        <v>10000</v>
      </c>
      <c r="E65" s="8">
        <v>10792</v>
      </c>
      <c r="F65" s="8">
        <v>12822</v>
      </c>
      <c r="G65" s="8">
        <v>13843</v>
      </c>
      <c r="H65" s="8">
        <v>14199</v>
      </c>
      <c r="I65" s="8">
        <v>16385</v>
      </c>
      <c r="J65" s="8">
        <v>19095</v>
      </c>
      <c r="K65" s="8">
        <v>20709</v>
      </c>
    </row>
    <row r="66" spans="1:11" s="77" customFormat="1" ht="14.25" customHeight="1" x14ac:dyDescent="0.3">
      <c r="A66" s="77" t="s">
        <v>170</v>
      </c>
      <c r="B66" s="8">
        <v>14793</v>
      </c>
      <c r="C66" s="8">
        <v>15706</v>
      </c>
      <c r="D66" s="8">
        <v>17862</v>
      </c>
      <c r="E66" s="8">
        <v>18629</v>
      </c>
      <c r="F66" s="8">
        <v>20153</v>
      </c>
      <c r="G66" s="8">
        <v>68740</v>
      </c>
      <c r="H66" s="8">
        <v>70506</v>
      </c>
      <c r="I66" s="8">
        <v>73077</v>
      </c>
      <c r="J66" s="8">
        <v>78489</v>
      </c>
      <c r="K66" s="8">
        <v>79863</v>
      </c>
    </row>
    <row r="67" spans="1:11" ht="14.25" customHeight="1" x14ac:dyDescent="0.3">
      <c r="A67" s="76" t="s">
        <v>42</v>
      </c>
      <c r="B67" s="8">
        <v>1264</v>
      </c>
      <c r="C67" s="8">
        <v>1085</v>
      </c>
      <c r="D67" s="8">
        <v>1310</v>
      </c>
      <c r="E67" s="8">
        <v>1816</v>
      </c>
      <c r="F67" s="8">
        <v>1149</v>
      </c>
      <c r="G67" s="8">
        <v>1758</v>
      </c>
      <c r="H67" s="8">
        <v>2236</v>
      </c>
      <c r="I67" s="8">
        <v>3079</v>
      </c>
      <c r="J67" s="8">
        <v>2997</v>
      </c>
      <c r="K67" s="8">
        <v>3819</v>
      </c>
    </row>
    <row r="68" spans="1:11" ht="14.25" customHeight="1" x14ac:dyDescent="0.3">
      <c r="A68" s="76" t="s">
        <v>43</v>
      </c>
      <c r="B68" s="8">
        <v>2726</v>
      </c>
      <c r="C68" s="8">
        <v>2541</v>
      </c>
      <c r="D68" s="8">
        <v>2513</v>
      </c>
      <c r="E68" s="8">
        <v>2574</v>
      </c>
      <c r="F68" s="8">
        <v>2767</v>
      </c>
      <c r="G68" s="8">
        <v>3579</v>
      </c>
      <c r="H68" s="8">
        <v>4096</v>
      </c>
      <c r="I68" s="8">
        <v>4251</v>
      </c>
      <c r="J68" s="8">
        <v>4022</v>
      </c>
      <c r="K68" s="8">
        <v>4415</v>
      </c>
    </row>
    <row r="69" spans="1:11" ht="14.25" customHeight="1" x14ac:dyDescent="0.3">
      <c r="A69" s="76" t="s">
        <v>44</v>
      </c>
      <c r="B69" s="8">
        <v>3009</v>
      </c>
      <c r="C69" s="8">
        <v>1828</v>
      </c>
      <c r="D69" s="8">
        <v>3485</v>
      </c>
      <c r="E69" s="8">
        <v>3757</v>
      </c>
      <c r="F69" s="8">
        <v>5113</v>
      </c>
      <c r="G69" s="8">
        <v>4471</v>
      </c>
      <c r="H69" s="8">
        <v>3846</v>
      </c>
      <c r="I69" s="8">
        <v>4678</v>
      </c>
      <c r="J69" s="8">
        <v>7559</v>
      </c>
      <c r="K69" s="8">
        <v>7554</v>
      </c>
    </row>
    <row r="70" spans="1:11" ht="14.25" customHeight="1" x14ac:dyDescent="0.3">
      <c r="A70" s="76" t="s">
        <v>171</v>
      </c>
      <c r="B70" s="8">
        <v>2163936971</v>
      </c>
      <c r="C70" s="8">
        <v>2164349639</v>
      </c>
      <c r="D70" s="8">
        <v>2164528777</v>
      </c>
      <c r="E70" s="8">
        <v>2164704405</v>
      </c>
      <c r="F70" s="8">
        <v>2164704405</v>
      </c>
      <c r="G70" s="8">
        <v>2349567819</v>
      </c>
      <c r="H70" s="8">
        <v>2349591262</v>
      </c>
      <c r="I70" s="8">
        <v>2349591262</v>
      </c>
      <c r="J70" s="8">
        <v>2349591262</v>
      </c>
      <c r="K70" s="8">
        <v>2349591262</v>
      </c>
    </row>
    <row r="71" spans="1:11" ht="14.25" customHeight="1" x14ac:dyDescent="0.3">
      <c r="A71" s="76" t="s">
        <v>172</v>
      </c>
    </row>
    <row r="72" spans="1:11" ht="14.25" customHeight="1" x14ac:dyDescent="0.3">
      <c r="A72" s="76" t="s">
        <v>173</v>
      </c>
      <c r="B72" s="8">
        <v>1</v>
      </c>
      <c r="C72" s="8">
        <v>1</v>
      </c>
      <c r="D72" s="8">
        <v>1</v>
      </c>
      <c r="E72" s="8">
        <v>1</v>
      </c>
      <c r="F72" s="8">
        <v>1</v>
      </c>
      <c r="G72" s="8">
        <v>1</v>
      </c>
      <c r="H72" s="8">
        <v>1</v>
      </c>
      <c r="I72" s="8">
        <v>1</v>
      </c>
      <c r="J72" s="8">
        <v>1</v>
      </c>
      <c r="K72" s="8">
        <v>1</v>
      </c>
    </row>
    <row r="80" spans="1:11" ht="14.25" customHeight="1" x14ac:dyDescent="0.3">
      <c r="A80" s="77" t="s">
        <v>174</v>
      </c>
    </row>
    <row r="81" spans="1:11" s="80" customFormat="1" ht="14.25" customHeight="1" x14ac:dyDescent="0.3">
      <c r="A81" s="78" t="s">
        <v>154</v>
      </c>
      <c r="B81" s="79">
        <v>42460</v>
      </c>
      <c r="C81" s="79">
        <v>42825</v>
      </c>
      <c r="D81" s="79">
        <v>43190</v>
      </c>
      <c r="E81" s="79">
        <v>43555</v>
      </c>
      <c r="F81" s="79">
        <v>43921</v>
      </c>
      <c r="G81" s="79">
        <v>44286</v>
      </c>
      <c r="H81" s="79">
        <v>44651</v>
      </c>
      <c r="I81" s="79">
        <v>45016</v>
      </c>
      <c r="J81" s="79">
        <v>45382</v>
      </c>
      <c r="K81" s="79">
        <v>45747</v>
      </c>
    </row>
    <row r="82" spans="1:11" s="77" customFormat="1" ht="14.25" customHeight="1" x14ac:dyDescent="0.3">
      <c r="A82" s="76" t="s">
        <v>175</v>
      </c>
      <c r="B82" s="8">
        <v>4171</v>
      </c>
      <c r="C82" s="8">
        <v>5185</v>
      </c>
      <c r="D82" s="8">
        <v>6059</v>
      </c>
      <c r="E82" s="8">
        <v>5800</v>
      </c>
      <c r="F82" s="8">
        <v>7623</v>
      </c>
      <c r="G82" s="8">
        <v>9163</v>
      </c>
      <c r="H82" s="8">
        <v>9048</v>
      </c>
      <c r="I82" s="8">
        <v>9991</v>
      </c>
      <c r="J82" s="8">
        <v>15469</v>
      </c>
      <c r="K82" s="8">
        <v>11886</v>
      </c>
    </row>
    <row r="83" spans="1:11" ht="14.25" customHeight="1" x14ac:dyDescent="0.3">
      <c r="A83" s="76" t="s">
        <v>176</v>
      </c>
      <c r="B83" s="8">
        <v>-282</v>
      </c>
      <c r="C83" s="8">
        <v>-1173</v>
      </c>
      <c r="D83" s="8">
        <v>-1063</v>
      </c>
      <c r="E83" s="8">
        <v>-438</v>
      </c>
      <c r="F83" s="8">
        <v>1791</v>
      </c>
      <c r="G83" s="8">
        <v>-1228</v>
      </c>
      <c r="H83" s="8">
        <v>-1728</v>
      </c>
      <c r="I83" s="8">
        <v>-1484</v>
      </c>
      <c r="J83" s="8">
        <v>-5324</v>
      </c>
      <c r="K83" s="8">
        <v>6473</v>
      </c>
    </row>
    <row r="84" spans="1:11" ht="14.25" customHeight="1" x14ac:dyDescent="0.3">
      <c r="A84" s="76" t="s">
        <v>177</v>
      </c>
      <c r="B84" s="8">
        <v>-3864</v>
      </c>
      <c r="C84" s="8">
        <v>-4214</v>
      </c>
      <c r="D84" s="8">
        <v>-4975</v>
      </c>
      <c r="E84" s="8">
        <v>-5390</v>
      </c>
      <c r="F84" s="8">
        <v>-6819</v>
      </c>
      <c r="G84" s="8">
        <v>-9309</v>
      </c>
      <c r="H84" s="8">
        <v>-8015</v>
      </c>
      <c r="I84" s="8">
        <v>-8953</v>
      </c>
      <c r="J84" s="8">
        <v>-10034</v>
      </c>
      <c r="K84" s="8">
        <v>-13101</v>
      </c>
    </row>
    <row r="85" spans="1:11" s="77" customFormat="1" ht="14.25" customHeight="1" x14ac:dyDescent="0.3">
      <c r="A85" s="76" t="s">
        <v>80</v>
      </c>
      <c r="B85" s="8">
        <v>25</v>
      </c>
      <c r="C85" s="8">
        <v>-202</v>
      </c>
      <c r="D85" s="8">
        <v>21</v>
      </c>
      <c r="E85" s="8">
        <v>-28</v>
      </c>
      <c r="F85" s="8">
        <v>2595</v>
      </c>
      <c r="G85" s="8">
        <v>-1374</v>
      </c>
      <c r="H85" s="8">
        <v>-695</v>
      </c>
      <c r="I85" s="8">
        <v>-446</v>
      </c>
      <c r="J85" s="8">
        <v>111</v>
      </c>
      <c r="K85" s="8">
        <v>5258</v>
      </c>
    </row>
    <row r="90" spans="1:11" s="77" customFormat="1" ht="14.25" customHeight="1" x14ac:dyDescent="0.3">
      <c r="A90" s="77" t="s">
        <v>178</v>
      </c>
      <c r="B90" s="8">
        <v>832.17</v>
      </c>
      <c r="C90" s="8">
        <v>872.61</v>
      </c>
      <c r="D90" s="8">
        <v>1276.1099999999999</v>
      </c>
      <c r="E90" s="8">
        <v>1633.53</v>
      </c>
      <c r="F90" s="8">
        <v>2199.83</v>
      </c>
      <c r="G90" s="8">
        <v>2327.12</v>
      </c>
      <c r="H90" s="8">
        <v>1960.7</v>
      </c>
      <c r="I90" s="8">
        <v>2450.44</v>
      </c>
      <c r="J90" s="8">
        <v>2167.14</v>
      </c>
      <c r="K90" s="8">
        <v>2161.88</v>
      </c>
    </row>
    <row r="92" spans="1:11" s="77" customFormat="1" ht="14.25" customHeight="1" x14ac:dyDescent="0.3">
      <c r="A92" s="77" t="s">
        <v>179</v>
      </c>
    </row>
    <row r="93" spans="1:11" ht="14.25" customHeight="1" x14ac:dyDescent="0.3">
      <c r="A93" s="76" t="s">
        <v>180</v>
      </c>
      <c r="B93" s="23">
        <v>216.39</v>
      </c>
      <c r="C93" s="23">
        <v>216.43</v>
      </c>
      <c r="D93" s="23">
        <v>216.45</v>
      </c>
      <c r="E93" s="23">
        <v>216.47</v>
      </c>
      <c r="F93" s="23">
        <v>216.48</v>
      </c>
      <c r="G93" s="23">
        <v>234.96</v>
      </c>
      <c r="H93" s="23">
        <v>234.96</v>
      </c>
      <c r="I93" s="23">
        <v>234.96</v>
      </c>
      <c r="J93" s="23">
        <v>234.96</v>
      </c>
      <c r="K93" s="23">
        <v>234.96</v>
      </c>
    </row>
  </sheetData>
  <mergeCells count="2">
    <mergeCell ref="E1:K1"/>
    <mergeCell ref="E2:K2"/>
  </mergeCells>
  <conditionalFormatting sqref="E1:K1">
    <cfRule type="cellIs" dxfId="0" priority="2" operator="notEqual">
      <formula>""</formula>
    </cfRule>
  </conditionalFormatting>
  <hyperlinks>
    <hyperlink ref="E1" r:id="rId1" display="https://www.screener.in/excel/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8"/>
  <sheetViews>
    <sheetView showGridLines="0" zoomScaleNormal="100" workbookViewId="0">
      <selection activeCell="I25" sqref="I25"/>
    </sheetView>
  </sheetViews>
  <sheetFormatPr defaultColWidth="8.6640625" defaultRowHeight="14.4" x14ac:dyDescent="0.3"/>
  <cols>
    <col min="1" max="1" width="2.33203125" style="8" customWidth="1"/>
    <col min="2" max="2" width="32.33203125" style="8" customWidth="1"/>
  </cols>
  <sheetData>
    <row r="3" spans="2:12" ht="14.25" customHeight="1" x14ac:dyDescent="0.3">
      <c r="C3" s="81">
        <v>42430</v>
      </c>
      <c r="D3" s="81">
        <v>42795</v>
      </c>
      <c r="E3" s="81">
        <v>43160</v>
      </c>
      <c r="F3" s="81">
        <v>43525</v>
      </c>
      <c r="G3" s="81">
        <v>43891</v>
      </c>
      <c r="H3" s="81">
        <v>44256</v>
      </c>
      <c r="I3" s="81">
        <v>44621</v>
      </c>
      <c r="J3" s="81">
        <v>44986</v>
      </c>
      <c r="K3" s="81">
        <v>45352</v>
      </c>
      <c r="L3" s="81">
        <v>45717</v>
      </c>
    </row>
    <row r="4" spans="2:12" ht="14.25" customHeight="1" x14ac:dyDescent="0.3">
      <c r="B4" s="30" t="s">
        <v>138</v>
      </c>
      <c r="C4" s="29">
        <v>4171</v>
      </c>
      <c r="D4" s="29">
        <v>5185</v>
      </c>
      <c r="E4" s="29">
        <v>6059</v>
      </c>
      <c r="F4" s="29">
        <v>5800</v>
      </c>
      <c r="G4" s="29">
        <v>7623</v>
      </c>
      <c r="H4" s="29">
        <v>9163</v>
      </c>
      <c r="I4" s="29">
        <v>9048</v>
      </c>
      <c r="J4" s="29">
        <v>9991</v>
      </c>
      <c r="K4" s="29">
        <v>15469</v>
      </c>
      <c r="L4" s="29">
        <v>11886</v>
      </c>
    </row>
    <row r="5" spans="2:12" ht="14.25" customHeight="1" x14ac:dyDescent="0.3">
      <c r="B5" s="30" t="s">
        <v>50</v>
      </c>
      <c r="C5" s="29">
        <v>6025</v>
      </c>
      <c r="D5" s="29">
        <v>6512</v>
      </c>
      <c r="E5" s="29">
        <v>7485</v>
      </c>
      <c r="F5" s="29">
        <v>8909</v>
      </c>
      <c r="G5" s="29">
        <v>9723</v>
      </c>
      <c r="H5" s="29">
        <v>11672</v>
      </c>
      <c r="I5" s="29">
        <v>12829</v>
      </c>
      <c r="J5" s="29">
        <v>14089</v>
      </c>
      <c r="K5" s="29">
        <v>14537</v>
      </c>
      <c r="L5" s="29">
        <v>14942</v>
      </c>
    </row>
    <row r="6" spans="2:12" ht="14.25" customHeight="1" x14ac:dyDescent="0.3">
      <c r="B6" s="30" t="s">
        <v>42</v>
      </c>
      <c r="C6" s="29">
        <v>-257</v>
      </c>
      <c r="D6" s="29">
        <v>173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</row>
    <row r="7" spans="2:12" ht="14.25" customHeight="1" x14ac:dyDescent="0.3">
      <c r="B7" s="30" t="s">
        <v>43</v>
      </c>
      <c r="C7" s="29">
        <v>89</v>
      </c>
      <c r="D7" s="29">
        <v>37</v>
      </c>
      <c r="E7" s="29">
        <v>-146</v>
      </c>
      <c r="F7" s="29">
        <v>-195</v>
      </c>
      <c r="G7" s="29">
        <v>-331</v>
      </c>
      <c r="H7" s="29">
        <v>-543</v>
      </c>
      <c r="I7" s="29">
        <v>-758</v>
      </c>
      <c r="J7" s="29">
        <v>-339</v>
      </c>
      <c r="K7" s="29">
        <v>74</v>
      </c>
      <c r="L7" s="29">
        <v>-584</v>
      </c>
    </row>
    <row r="8" spans="2:12" ht="14.25" customHeight="1" x14ac:dyDescent="0.3">
      <c r="B8" s="30" t="s">
        <v>51</v>
      </c>
      <c r="C8" s="29">
        <v>164</v>
      </c>
      <c r="D8" s="29">
        <v>501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</row>
    <row r="9" spans="2:12" ht="14.25" customHeight="1" x14ac:dyDescent="0.3">
      <c r="B9" s="30" t="s">
        <v>52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</row>
    <row r="10" spans="2:12" ht="14.25" customHeight="1" x14ac:dyDescent="0.3">
      <c r="B10" s="30" t="s">
        <v>53</v>
      </c>
      <c r="C10" s="29">
        <v>0</v>
      </c>
      <c r="D10" s="29">
        <v>-46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</row>
    <row r="11" spans="2:12" ht="14.25" customHeight="1" x14ac:dyDescent="0.3">
      <c r="B11" s="30" t="s">
        <v>54</v>
      </c>
      <c r="C11" s="29">
        <v>-77</v>
      </c>
      <c r="D11" s="29">
        <v>-99</v>
      </c>
      <c r="E11" s="29">
        <v>982</v>
      </c>
      <c r="F11" s="29">
        <v>-147</v>
      </c>
      <c r="G11" s="29">
        <v>742</v>
      </c>
      <c r="H11" s="29">
        <v>442</v>
      </c>
      <c r="I11" s="29">
        <v>-242</v>
      </c>
      <c r="J11" s="29">
        <v>-621</v>
      </c>
      <c r="K11" s="29">
        <v>1239</v>
      </c>
      <c r="L11" s="29">
        <v>-204</v>
      </c>
    </row>
    <row r="12" spans="2:12" ht="14.25" customHeight="1" x14ac:dyDescent="0.3">
      <c r="B12" s="30" t="s">
        <v>55</v>
      </c>
      <c r="C12" s="29">
        <v>-81</v>
      </c>
      <c r="D12" s="29">
        <v>566</v>
      </c>
      <c r="E12" s="29">
        <v>836</v>
      </c>
      <c r="F12" s="29">
        <v>-342</v>
      </c>
      <c r="G12" s="29">
        <v>411</v>
      </c>
      <c r="H12" s="29">
        <v>-101</v>
      </c>
      <c r="I12" s="29">
        <v>-1000</v>
      </c>
      <c r="J12" s="29">
        <v>-960</v>
      </c>
      <c r="K12" s="29">
        <v>1313</v>
      </c>
      <c r="L12" s="29">
        <v>-788</v>
      </c>
    </row>
    <row r="13" spans="2:12" ht="14.25" customHeight="1" x14ac:dyDescent="0.3">
      <c r="B13" s="30" t="s">
        <v>56</v>
      </c>
      <c r="C13" s="29">
        <v>-1765</v>
      </c>
      <c r="D13" s="29">
        <v>-1859</v>
      </c>
      <c r="E13" s="29">
        <v>-2264</v>
      </c>
      <c r="F13" s="29">
        <v>-2767</v>
      </c>
      <c r="G13" s="29">
        <v>-2505</v>
      </c>
      <c r="H13" s="29">
        <v>-2407</v>
      </c>
      <c r="I13" s="29">
        <v>-2784</v>
      </c>
      <c r="J13" s="29">
        <v>-3138</v>
      </c>
      <c r="K13" s="29">
        <v>-381</v>
      </c>
      <c r="L13" s="29">
        <v>-2268</v>
      </c>
    </row>
    <row r="14" spans="2:12" ht="14.25" customHeight="1" x14ac:dyDescent="0.3">
      <c r="B14" s="30" t="s">
        <v>57</v>
      </c>
      <c r="C14" s="29">
        <v>-8</v>
      </c>
      <c r="D14" s="29">
        <v>-21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</row>
    <row r="15" spans="2:12" ht="14.25" customHeight="1" x14ac:dyDescent="0.3">
      <c r="B15" s="30" t="s">
        <v>58</v>
      </c>
      <c r="C15" s="29">
        <v>0</v>
      </c>
      <c r="D15" s="29">
        <v>-13</v>
      </c>
      <c r="E15" s="29">
        <v>2</v>
      </c>
      <c r="F15" s="29">
        <v>0</v>
      </c>
      <c r="G15" s="29">
        <v>-6</v>
      </c>
      <c r="H15" s="29">
        <v>-1</v>
      </c>
      <c r="I15" s="29">
        <v>3</v>
      </c>
      <c r="J15" s="29">
        <v>0</v>
      </c>
      <c r="K15" s="29">
        <v>0</v>
      </c>
      <c r="L15" s="29">
        <v>0</v>
      </c>
    </row>
    <row r="16" spans="2:12" ht="14.25" customHeight="1" x14ac:dyDescent="0.3">
      <c r="B16" s="30"/>
      <c r="C16" s="29"/>
      <c r="D16" s="29"/>
      <c r="E16" s="29"/>
      <c r="F16" s="29"/>
      <c r="G16" s="29"/>
      <c r="H16" s="29"/>
      <c r="I16" s="29"/>
      <c r="J16" s="29"/>
      <c r="K16" s="29"/>
      <c r="L16" s="29"/>
    </row>
    <row r="17" spans="2:12" ht="14.25" customHeight="1" x14ac:dyDescent="0.3">
      <c r="B17" s="30" t="s">
        <v>70</v>
      </c>
      <c r="C17" s="29">
        <v>-282</v>
      </c>
      <c r="D17" s="29">
        <v>-1173</v>
      </c>
      <c r="E17" s="29">
        <v>-1063</v>
      </c>
      <c r="F17" s="29">
        <v>-438</v>
      </c>
      <c r="G17" s="29">
        <v>1791</v>
      </c>
      <c r="H17" s="29">
        <v>-1228</v>
      </c>
      <c r="I17" s="29">
        <v>-1728</v>
      </c>
      <c r="J17" s="29">
        <v>-1484</v>
      </c>
      <c r="K17" s="29">
        <v>-5324</v>
      </c>
      <c r="L17" s="29">
        <v>6473</v>
      </c>
    </row>
    <row r="18" spans="2:12" ht="14.25" customHeight="1" x14ac:dyDescent="0.3">
      <c r="B18" s="30" t="s">
        <v>60</v>
      </c>
      <c r="C18" s="29">
        <v>-810</v>
      </c>
      <c r="D18" s="29">
        <v>-1113</v>
      </c>
      <c r="E18" s="29">
        <v>-895</v>
      </c>
      <c r="F18" s="29">
        <v>-767</v>
      </c>
      <c r="G18" s="29">
        <v>-862</v>
      </c>
      <c r="H18" s="29">
        <v>-4163</v>
      </c>
      <c r="I18" s="29">
        <v>-1228</v>
      </c>
      <c r="J18" s="29">
        <v>-1192</v>
      </c>
      <c r="K18" s="29">
        <v>-1477</v>
      </c>
      <c r="L18" s="29">
        <v>-1275</v>
      </c>
    </row>
    <row r="19" spans="2:12" ht="14.25" customHeight="1" x14ac:dyDescent="0.3">
      <c r="B19" s="30" t="s">
        <v>61</v>
      </c>
      <c r="C19" s="29">
        <v>99</v>
      </c>
      <c r="D19" s="29">
        <v>176</v>
      </c>
      <c r="E19" s="29">
        <v>32</v>
      </c>
      <c r="F19" s="29">
        <v>13</v>
      </c>
      <c r="G19" s="29">
        <v>52</v>
      </c>
      <c r="H19" s="29">
        <v>97</v>
      </c>
      <c r="I19" s="29">
        <v>175</v>
      </c>
      <c r="J19" s="29">
        <v>181</v>
      </c>
      <c r="K19" s="29">
        <v>20</v>
      </c>
      <c r="L19" s="29">
        <v>13</v>
      </c>
    </row>
    <row r="20" spans="2:12" ht="14.25" customHeight="1" x14ac:dyDescent="0.3">
      <c r="B20" s="30" t="s">
        <v>62</v>
      </c>
      <c r="C20" s="29">
        <v>-20666</v>
      </c>
      <c r="D20" s="29">
        <v>-31214</v>
      </c>
      <c r="E20" s="29">
        <v>-51855</v>
      </c>
      <c r="F20" s="29">
        <v>-74365</v>
      </c>
      <c r="G20" s="29">
        <v>-36090</v>
      </c>
      <c r="H20" s="29">
        <v>-39920</v>
      </c>
      <c r="I20" s="29">
        <v>-48522</v>
      </c>
      <c r="J20" s="29">
        <v>-22649</v>
      </c>
      <c r="K20" s="29">
        <v>-21337</v>
      </c>
      <c r="L20" s="29">
        <v>-22957</v>
      </c>
    </row>
    <row r="21" spans="2:12" ht="14.25" customHeight="1" x14ac:dyDescent="0.3">
      <c r="B21" s="30" t="s">
        <v>63</v>
      </c>
      <c r="C21" s="29">
        <v>20937</v>
      </c>
      <c r="D21" s="29">
        <v>30083</v>
      </c>
      <c r="E21" s="29">
        <v>52897</v>
      </c>
      <c r="F21" s="29">
        <v>74691</v>
      </c>
      <c r="G21" s="29">
        <v>37690</v>
      </c>
      <c r="H21" s="29">
        <v>38486</v>
      </c>
      <c r="I21" s="29">
        <v>47786</v>
      </c>
      <c r="J21" s="29">
        <v>23462</v>
      </c>
      <c r="K21" s="29">
        <v>19846</v>
      </c>
      <c r="L21" s="29">
        <v>23987</v>
      </c>
    </row>
    <row r="22" spans="2:12" ht="14.25" customHeight="1" x14ac:dyDescent="0.3">
      <c r="B22" s="30" t="s">
        <v>64</v>
      </c>
      <c r="C22" s="29">
        <v>315</v>
      </c>
      <c r="D22" s="29">
        <v>264</v>
      </c>
      <c r="E22" s="29">
        <v>297</v>
      </c>
      <c r="F22" s="29">
        <v>289</v>
      </c>
      <c r="G22" s="29">
        <v>351</v>
      </c>
      <c r="H22" s="29">
        <v>277</v>
      </c>
      <c r="I22" s="29">
        <v>161</v>
      </c>
      <c r="J22" s="29">
        <v>259</v>
      </c>
      <c r="K22" s="29">
        <v>425</v>
      </c>
      <c r="L22" s="29">
        <v>835</v>
      </c>
    </row>
    <row r="23" spans="2:12" ht="14.25" customHeight="1" x14ac:dyDescent="0.3">
      <c r="B23" s="30" t="s">
        <v>65</v>
      </c>
      <c r="C23" s="29">
        <v>33</v>
      </c>
      <c r="D23" s="29">
        <v>14</v>
      </c>
      <c r="E23" s="29">
        <v>0</v>
      </c>
      <c r="F23" s="29">
        <v>1</v>
      </c>
      <c r="G23" s="29">
        <v>1</v>
      </c>
      <c r="H23" s="29">
        <v>1</v>
      </c>
      <c r="I23" s="29">
        <v>1</v>
      </c>
      <c r="J23" s="29">
        <v>2</v>
      </c>
      <c r="K23" s="29">
        <v>3</v>
      </c>
      <c r="L23" s="29">
        <v>0</v>
      </c>
    </row>
    <row r="24" spans="2:12" ht="14.25" customHeight="1" x14ac:dyDescent="0.3">
      <c r="B24" s="30" t="s">
        <v>140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</row>
    <row r="25" spans="2:12" ht="14.25" customHeight="1" x14ac:dyDescent="0.3">
      <c r="B25" s="30" t="s">
        <v>141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</row>
    <row r="26" spans="2:12" ht="14.25" customHeight="1" x14ac:dyDescent="0.3">
      <c r="B26" s="30" t="s">
        <v>67</v>
      </c>
      <c r="C26" s="29">
        <v>161</v>
      </c>
      <c r="D26" s="29">
        <v>20</v>
      </c>
      <c r="E26" s="29">
        <v>73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</row>
    <row r="27" spans="2:12" ht="14.25" customHeight="1" x14ac:dyDescent="0.3">
      <c r="B27" s="30" t="s">
        <v>68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-334</v>
      </c>
      <c r="K27" s="29">
        <v>0</v>
      </c>
      <c r="L27" s="29">
        <v>0</v>
      </c>
    </row>
    <row r="28" spans="2:12" ht="14.25" customHeight="1" x14ac:dyDescent="0.3">
      <c r="B28" s="30" t="s">
        <v>69</v>
      </c>
      <c r="C28" s="29">
        <v>-351</v>
      </c>
      <c r="D28" s="29">
        <v>597</v>
      </c>
      <c r="E28" s="29">
        <v>-1612</v>
      </c>
      <c r="F28" s="29">
        <v>-300</v>
      </c>
      <c r="G28" s="29">
        <v>649</v>
      </c>
      <c r="H28" s="29">
        <v>3994</v>
      </c>
      <c r="I28" s="29">
        <v>-101</v>
      </c>
      <c r="J28" s="29">
        <v>-1213</v>
      </c>
      <c r="K28" s="29">
        <v>-2804</v>
      </c>
      <c r="L28" s="29">
        <v>5870</v>
      </c>
    </row>
    <row r="29" spans="2:12" ht="14.25" customHeight="1" x14ac:dyDescent="0.3"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2:12" ht="14.25" customHeight="1" x14ac:dyDescent="0.3">
      <c r="B30" s="30" t="s">
        <v>79</v>
      </c>
      <c r="C30" s="29">
        <v>-3864</v>
      </c>
      <c r="D30" s="29">
        <v>-4214</v>
      </c>
      <c r="E30" s="29">
        <v>-4975</v>
      </c>
      <c r="F30" s="29">
        <v>-5390</v>
      </c>
      <c r="G30" s="29">
        <v>-6819</v>
      </c>
      <c r="H30" s="29">
        <v>-9309</v>
      </c>
      <c r="I30" s="29">
        <v>-8015</v>
      </c>
      <c r="J30" s="29">
        <v>-8953</v>
      </c>
      <c r="K30" s="29">
        <v>-10034</v>
      </c>
      <c r="L30" s="29">
        <v>-13101</v>
      </c>
    </row>
    <row r="31" spans="2:12" ht="14.25" customHeight="1" x14ac:dyDescent="0.3">
      <c r="B31" s="30" t="s">
        <v>72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</row>
    <row r="32" spans="2:12" ht="14.25" customHeight="1" x14ac:dyDescent="0.3">
      <c r="B32" s="30" t="s">
        <v>73</v>
      </c>
      <c r="C32" s="29">
        <v>177</v>
      </c>
      <c r="D32" s="29">
        <v>460</v>
      </c>
      <c r="E32" s="29">
        <v>0</v>
      </c>
      <c r="F32" s="29">
        <v>99</v>
      </c>
      <c r="G32" s="29">
        <v>0</v>
      </c>
      <c r="H32" s="29">
        <v>188</v>
      </c>
      <c r="I32" s="29">
        <v>55</v>
      </c>
      <c r="J32" s="29">
        <v>286</v>
      </c>
      <c r="K32" s="29">
        <v>0</v>
      </c>
      <c r="L32" s="29">
        <v>0</v>
      </c>
    </row>
    <row r="33" spans="2:12" ht="14.25" customHeight="1" x14ac:dyDescent="0.3">
      <c r="B33" s="30" t="s">
        <v>74</v>
      </c>
      <c r="C33" s="29">
        <v>0</v>
      </c>
      <c r="D33" s="29">
        <v>-360</v>
      </c>
      <c r="E33" s="29">
        <v>-277</v>
      </c>
      <c r="F33" s="29">
        <v>0</v>
      </c>
      <c r="G33" s="29">
        <v>-99</v>
      </c>
      <c r="H33" s="29">
        <v>-188</v>
      </c>
      <c r="I33" s="29">
        <v>-55</v>
      </c>
      <c r="J33" s="29">
        <v>-208</v>
      </c>
      <c r="K33" s="29">
        <v>-85</v>
      </c>
      <c r="L33" s="29">
        <v>0</v>
      </c>
    </row>
    <row r="34" spans="2:12" ht="14.25" customHeight="1" x14ac:dyDescent="0.3">
      <c r="B34" s="30" t="s">
        <v>75</v>
      </c>
      <c r="C34" s="29">
        <v>-2</v>
      </c>
      <c r="D34" s="29">
        <v>-14</v>
      </c>
      <c r="E34" s="29">
        <v>-6</v>
      </c>
      <c r="F34" s="29">
        <v>-7</v>
      </c>
      <c r="G34" s="29">
        <v>-90</v>
      </c>
      <c r="H34" s="29">
        <v>-92</v>
      </c>
      <c r="I34" s="29">
        <v>-82</v>
      </c>
      <c r="J34" s="29">
        <v>-88</v>
      </c>
      <c r="K34" s="29">
        <v>-110</v>
      </c>
      <c r="L34" s="29">
        <v>-130</v>
      </c>
    </row>
    <row r="35" spans="2:12" ht="14.25" customHeight="1" x14ac:dyDescent="0.3">
      <c r="B35" s="30" t="s">
        <v>76</v>
      </c>
      <c r="C35" s="29">
        <v>-3354</v>
      </c>
      <c r="D35" s="29">
        <v>-3572</v>
      </c>
      <c r="E35" s="29">
        <v>-3911</v>
      </c>
      <c r="F35" s="29">
        <v>-4554</v>
      </c>
      <c r="G35" s="29">
        <v>-5196</v>
      </c>
      <c r="H35" s="29">
        <v>-8811</v>
      </c>
      <c r="I35" s="29">
        <v>-7526</v>
      </c>
      <c r="J35" s="29">
        <v>-8474</v>
      </c>
      <c r="K35" s="29">
        <v>-9416</v>
      </c>
      <c r="L35" s="29">
        <v>-12473</v>
      </c>
    </row>
    <row r="36" spans="2:12" ht="14.25" customHeight="1" x14ac:dyDescent="0.3">
      <c r="B36" s="30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-373</v>
      </c>
      <c r="H36" s="29">
        <v>-406</v>
      </c>
      <c r="I36" s="29">
        <v>-407</v>
      </c>
      <c r="J36" s="29">
        <v>-467</v>
      </c>
      <c r="K36" s="29">
        <v>-423</v>
      </c>
      <c r="L36" s="29">
        <v>-498</v>
      </c>
    </row>
    <row r="37" spans="2:12" ht="14.25" customHeight="1" x14ac:dyDescent="0.3">
      <c r="B37" s="30" t="s">
        <v>78</v>
      </c>
      <c r="C37" s="29">
        <v>-685</v>
      </c>
      <c r="D37" s="29">
        <v>-728</v>
      </c>
      <c r="E37" s="29">
        <v>-781</v>
      </c>
      <c r="F37" s="29">
        <v>-928</v>
      </c>
      <c r="G37" s="29">
        <v>-1061</v>
      </c>
      <c r="H37" s="29">
        <v>0</v>
      </c>
      <c r="I37" s="29">
        <v>0</v>
      </c>
      <c r="J37" s="29">
        <v>-2</v>
      </c>
      <c r="K37" s="29">
        <v>0</v>
      </c>
      <c r="L37" s="29">
        <v>0</v>
      </c>
    </row>
    <row r="38" spans="2:12" ht="14.25" customHeight="1" x14ac:dyDescent="0.3">
      <c r="B38" s="8" t="s">
        <v>80</v>
      </c>
      <c r="C38" s="29">
        <v>25</v>
      </c>
      <c r="D38" s="29">
        <v>-202</v>
      </c>
      <c r="E38" s="29">
        <v>21</v>
      </c>
      <c r="F38" s="29">
        <v>-28</v>
      </c>
      <c r="G38" s="29">
        <v>2595</v>
      </c>
      <c r="H38" s="29">
        <v>-1374</v>
      </c>
      <c r="I38" s="29">
        <v>-695</v>
      </c>
      <c r="J38" s="29">
        <v>-446</v>
      </c>
      <c r="K38" s="29">
        <v>111</v>
      </c>
      <c r="L38" s="29">
        <v>5258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showGridLines="0" tabSelected="1" zoomScaleNormal="100" workbookViewId="0">
      <selection activeCell="N14" sqref="N14"/>
    </sheetView>
  </sheetViews>
  <sheetFormatPr defaultColWidth="8.6640625" defaultRowHeight="14.4" x14ac:dyDescent="0.3"/>
  <cols>
    <col min="1" max="1" width="3.21875" customWidth="1"/>
    <col min="2" max="2" width="28" style="8" customWidth="1"/>
    <col min="3" max="12" width="10" style="8" customWidth="1"/>
  </cols>
  <sheetData>
    <row r="1" spans="2:12" ht="27.75" customHeight="1" x14ac:dyDescent="0.3">
      <c r="B1" s="3" t="s">
        <v>181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2:12" ht="15" customHeight="1" x14ac:dyDescent="0.3">
      <c r="B2" s="2" t="s">
        <v>182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spans="2:12" ht="15" customHeight="1" x14ac:dyDescent="0.3">
      <c r="B4" s="1" t="s">
        <v>183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ht="15" customHeight="1" x14ac:dyDescent="0.3">
      <c r="B5" s="82" t="s">
        <v>104</v>
      </c>
      <c r="C5" s="82" t="s">
        <v>184</v>
      </c>
      <c r="D5" s="82" t="s">
        <v>185</v>
      </c>
      <c r="E5" s="82" t="s">
        <v>186</v>
      </c>
      <c r="F5" s="82" t="s">
        <v>187</v>
      </c>
      <c r="G5" s="82" t="s">
        <v>188</v>
      </c>
      <c r="H5" s="82" t="s">
        <v>189</v>
      </c>
      <c r="I5" s="82" t="s">
        <v>190</v>
      </c>
      <c r="J5" s="82" t="s">
        <v>191</v>
      </c>
      <c r="K5" s="82" t="s">
        <v>192</v>
      </c>
      <c r="L5" s="82" t="s">
        <v>193</v>
      </c>
    </row>
    <row r="6" spans="2:12" ht="15" customHeight="1" x14ac:dyDescent="0.3">
      <c r="B6" s="83" t="s">
        <v>5</v>
      </c>
      <c r="C6" s="88">
        <f>'Data Sheet'!B17</f>
        <v>32186</v>
      </c>
      <c r="D6" s="88">
        <f>'Data Sheet'!C17</f>
        <v>33162</v>
      </c>
      <c r="E6" s="88">
        <f>'Data Sheet'!D17</f>
        <v>35545</v>
      </c>
      <c r="F6" s="88">
        <f>'Data Sheet'!E17</f>
        <v>39310</v>
      </c>
      <c r="G6" s="88">
        <f>'Data Sheet'!F17</f>
        <v>39783</v>
      </c>
      <c r="H6" s="88">
        <f>'Data Sheet'!G17</f>
        <v>47028</v>
      </c>
      <c r="I6" s="88">
        <f>'Data Sheet'!H17</f>
        <v>52446</v>
      </c>
      <c r="J6" s="88">
        <f>'Data Sheet'!I17</f>
        <v>60580</v>
      </c>
      <c r="K6" s="88">
        <f>'Data Sheet'!J17</f>
        <v>61896</v>
      </c>
      <c r="L6" s="88">
        <f>'Data Sheet'!K17</f>
        <v>63121</v>
      </c>
    </row>
    <row r="7" spans="2:12" ht="15" customHeight="1" x14ac:dyDescent="0.3">
      <c r="B7" s="84" t="s">
        <v>155</v>
      </c>
      <c r="C7" s="88">
        <f>'Data Sheet'!B18</f>
        <v>13184</v>
      </c>
      <c r="D7" s="88">
        <f>'Data Sheet'!C18</f>
        <v>13606</v>
      </c>
      <c r="E7" s="88">
        <f>'Data Sheet'!D18</f>
        <v>14233</v>
      </c>
      <c r="F7" s="88">
        <f>'Data Sheet'!E18</f>
        <v>15845</v>
      </c>
      <c r="G7" s="88">
        <f>'Data Sheet'!F18</f>
        <v>15697</v>
      </c>
      <c r="H7" s="88">
        <f>'Data Sheet'!G18</f>
        <v>20141</v>
      </c>
      <c r="I7" s="88">
        <f>'Data Sheet'!H18</f>
        <v>22871</v>
      </c>
      <c r="J7" s="88">
        <f>'Data Sheet'!I18</f>
        <v>28427</v>
      </c>
      <c r="K7" s="88">
        <f>'Data Sheet'!J18</f>
        <v>26822</v>
      </c>
      <c r="L7" s="88">
        <f>'Data Sheet'!K18</f>
        <v>27344</v>
      </c>
    </row>
    <row r="8" spans="2:12" ht="15" customHeight="1" x14ac:dyDescent="0.3">
      <c r="B8" s="85" t="s">
        <v>159</v>
      </c>
      <c r="C8" s="88">
        <f>'Data Sheet'!B22</f>
        <v>1680</v>
      </c>
      <c r="D8" s="88">
        <f>'Data Sheet'!C22</f>
        <v>1743</v>
      </c>
      <c r="E8" s="88">
        <f>'Data Sheet'!D22</f>
        <v>1860</v>
      </c>
      <c r="F8" s="88">
        <f>'Data Sheet'!E22</f>
        <v>1875</v>
      </c>
      <c r="G8" s="88">
        <f>'Data Sheet'!F22</f>
        <v>1820</v>
      </c>
      <c r="H8" s="88">
        <f>'Data Sheet'!G22</f>
        <v>2358</v>
      </c>
      <c r="I8" s="88">
        <f>'Data Sheet'!H22</f>
        <v>2545</v>
      </c>
      <c r="J8" s="88">
        <f>'Data Sheet'!I22</f>
        <v>2854</v>
      </c>
      <c r="K8" s="88">
        <f>'Data Sheet'!J22</f>
        <v>3009</v>
      </c>
      <c r="L8" s="88">
        <f>'Data Sheet'!K22</f>
        <v>3077</v>
      </c>
    </row>
    <row r="9" spans="2:12" ht="15" customHeight="1" x14ac:dyDescent="0.3">
      <c r="B9" s="84" t="s">
        <v>194</v>
      </c>
      <c r="C9" s="88">
        <f>'Data Sheet'!B23</f>
        <v>6741</v>
      </c>
      <c r="D9" s="88">
        <f>'Data Sheet'!C23</f>
        <v>6689</v>
      </c>
      <c r="E9" s="88">
        <f>'Data Sheet'!D23</f>
        <v>7252</v>
      </c>
      <c r="F9" s="88">
        <f>'Data Sheet'!E23</f>
        <v>7796</v>
      </c>
      <c r="G9" s="88">
        <f>'Data Sheet'!F23</f>
        <v>7620</v>
      </c>
      <c r="H9" s="88">
        <f>'Data Sheet'!G23</f>
        <v>7906</v>
      </c>
      <c r="I9" s="88">
        <f>'Data Sheet'!H23</f>
        <v>8164</v>
      </c>
      <c r="J9" s="88">
        <f>'Data Sheet'!I23</f>
        <v>8785</v>
      </c>
      <c r="K9" s="88">
        <f>'Data Sheet'!J23</f>
        <v>10780</v>
      </c>
      <c r="L9" s="88">
        <f>'Data Sheet'!K23</f>
        <v>10693</v>
      </c>
    </row>
    <row r="10" spans="2:12" ht="15" customHeight="1" x14ac:dyDescent="0.3">
      <c r="B10" s="85" t="s">
        <v>17</v>
      </c>
      <c r="C10" s="88">
        <f>'Data Sheet'!B26</f>
        <v>353</v>
      </c>
      <c r="D10" s="88">
        <f>'Data Sheet'!C26</f>
        <v>432</v>
      </c>
      <c r="E10" s="88">
        <f>'Data Sheet'!D26</f>
        <v>520</v>
      </c>
      <c r="F10" s="88">
        <f>'Data Sheet'!E26</f>
        <v>565</v>
      </c>
      <c r="G10" s="88">
        <f>'Data Sheet'!F26</f>
        <v>1002</v>
      </c>
      <c r="H10" s="88">
        <f>'Data Sheet'!G26</f>
        <v>1074</v>
      </c>
      <c r="I10" s="88">
        <f>'Data Sheet'!H26</f>
        <v>1091</v>
      </c>
      <c r="J10" s="88">
        <f>'Data Sheet'!I26</f>
        <v>1137</v>
      </c>
      <c r="K10" s="88">
        <f>'Data Sheet'!J26</f>
        <v>1216</v>
      </c>
      <c r="L10" s="88">
        <f>'Data Sheet'!K26</f>
        <v>1355</v>
      </c>
    </row>
    <row r="11" spans="2:12" ht="15" customHeight="1" x14ac:dyDescent="0.3">
      <c r="B11" s="84" t="s">
        <v>15</v>
      </c>
      <c r="C11" s="88">
        <f>'Data Sheet'!B27</f>
        <v>17</v>
      </c>
      <c r="D11" s="88">
        <f>'Data Sheet'!C27</f>
        <v>35</v>
      </c>
      <c r="E11" s="88">
        <f>'Data Sheet'!D27</f>
        <v>26</v>
      </c>
      <c r="F11" s="88">
        <f>'Data Sheet'!E27</f>
        <v>33</v>
      </c>
      <c r="G11" s="88">
        <f>'Data Sheet'!F27</f>
        <v>118</v>
      </c>
      <c r="H11" s="88">
        <f>'Data Sheet'!G27</f>
        <v>117</v>
      </c>
      <c r="I11" s="88">
        <f>'Data Sheet'!H27</f>
        <v>106</v>
      </c>
      <c r="J11" s="88">
        <f>'Data Sheet'!I27</f>
        <v>114</v>
      </c>
      <c r="K11" s="88">
        <f>'Data Sheet'!J27</f>
        <v>334</v>
      </c>
      <c r="L11" s="88">
        <f>'Data Sheet'!K27</f>
        <v>395</v>
      </c>
    </row>
    <row r="12" spans="2:12" ht="15" customHeight="1" x14ac:dyDescent="0.3">
      <c r="B12" s="85" t="s">
        <v>163</v>
      </c>
      <c r="C12" s="88">
        <f>'Data Sheet'!B28</f>
        <v>6026</v>
      </c>
      <c r="D12" s="88">
        <f>'Data Sheet'!C28</f>
        <v>6467</v>
      </c>
      <c r="E12" s="88">
        <f>'Data Sheet'!D28</f>
        <v>7306</v>
      </c>
      <c r="F12" s="88">
        <f>'Data Sheet'!E28</f>
        <v>8604</v>
      </c>
      <c r="G12" s="88">
        <f>'Data Sheet'!F28</f>
        <v>9165</v>
      </c>
      <c r="H12" s="88">
        <f>'Data Sheet'!G28</f>
        <v>10605</v>
      </c>
      <c r="I12" s="88">
        <f>'Data Sheet'!H28</f>
        <v>11879</v>
      </c>
      <c r="J12" s="88">
        <f>'Data Sheet'!I28</f>
        <v>13344</v>
      </c>
      <c r="K12" s="88">
        <f>'Data Sheet'!J28</f>
        <v>13926</v>
      </c>
      <c r="L12" s="88">
        <f>'Data Sheet'!K28</f>
        <v>14415</v>
      </c>
    </row>
    <row r="13" spans="2:12" ht="15" customHeight="1" x14ac:dyDescent="0.3">
      <c r="B13" s="84" t="s">
        <v>21</v>
      </c>
      <c r="C13" s="88">
        <f>'Data Sheet'!B29</f>
        <v>1875</v>
      </c>
      <c r="D13" s="88">
        <f>'Data Sheet'!C29</f>
        <v>1977</v>
      </c>
      <c r="E13" s="88">
        <f>'Data Sheet'!D29</f>
        <v>2079</v>
      </c>
      <c r="F13" s="88">
        <f>'Data Sheet'!E29</f>
        <v>2544</v>
      </c>
      <c r="G13" s="88">
        <f>'Data Sheet'!F29</f>
        <v>2409</v>
      </c>
      <c r="H13" s="88">
        <f>'Data Sheet'!G29</f>
        <v>2606</v>
      </c>
      <c r="I13" s="88">
        <f>'Data Sheet'!H29</f>
        <v>2987</v>
      </c>
      <c r="J13" s="88">
        <f>'Data Sheet'!I29</f>
        <v>3201</v>
      </c>
      <c r="K13" s="88">
        <f>'Data Sheet'!J29</f>
        <v>3644</v>
      </c>
      <c r="L13" s="88">
        <f>'Data Sheet'!K29</f>
        <v>3744</v>
      </c>
    </row>
    <row r="14" spans="2:12" ht="15" customHeight="1" x14ac:dyDescent="0.3">
      <c r="B14" s="83" t="s">
        <v>23</v>
      </c>
      <c r="C14" s="88">
        <f>'Data Sheet'!B30</f>
        <v>4151</v>
      </c>
      <c r="D14" s="88">
        <f>'Data Sheet'!C30</f>
        <v>4476</v>
      </c>
      <c r="E14" s="88">
        <f>'Data Sheet'!D30</f>
        <v>5214</v>
      </c>
      <c r="F14" s="88">
        <f>'Data Sheet'!E30</f>
        <v>6054</v>
      </c>
      <c r="G14" s="88">
        <f>'Data Sheet'!F30</f>
        <v>6748</v>
      </c>
      <c r="H14" s="88">
        <f>'Data Sheet'!G30</f>
        <v>7995</v>
      </c>
      <c r="I14" s="88">
        <f>'Data Sheet'!H30</f>
        <v>8879</v>
      </c>
      <c r="J14" s="88">
        <f>'Data Sheet'!I30</f>
        <v>10120</v>
      </c>
      <c r="K14" s="88">
        <f>'Data Sheet'!J30</f>
        <v>10277</v>
      </c>
      <c r="L14" s="88">
        <f>'Data Sheet'!K30</f>
        <v>10649</v>
      </c>
    </row>
    <row r="16" spans="2:12" ht="15" customHeight="1" x14ac:dyDescent="0.3">
      <c r="B16" s="1" t="s">
        <v>195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ht="15" customHeight="1" x14ac:dyDescent="0.3">
      <c r="B17" s="82" t="s">
        <v>104</v>
      </c>
      <c r="C17" s="82" t="s">
        <v>184</v>
      </c>
      <c r="D17" s="82" t="s">
        <v>185</v>
      </c>
      <c r="E17" s="82" t="s">
        <v>186</v>
      </c>
      <c r="F17" s="82" t="s">
        <v>187</v>
      </c>
      <c r="G17" s="82" t="s">
        <v>188</v>
      </c>
      <c r="H17" s="82" t="s">
        <v>189</v>
      </c>
      <c r="I17" s="82" t="s">
        <v>190</v>
      </c>
      <c r="J17" s="82" t="s">
        <v>191</v>
      </c>
      <c r="K17" s="82" t="s">
        <v>192</v>
      </c>
      <c r="L17" s="82" t="s">
        <v>193</v>
      </c>
    </row>
    <row r="18" spans="2:12" ht="15" customHeight="1" x14ac:dyDescent="0.3">
      <c r="B18" s="86" t="s">
        <v>196</v>
      </c>
      <c r="C18" s="87" t="s">
        <v>197</v>
      </c>
      <c r="D18" s="89">
        <f>HistoricalFS!D7</f>
        <v>3.03237432424035E-2</v>
      </c>
      <c r="E18" s="89">
        <f>HistoricalFS!E7</f>
        <v>7.1859357095470644E-2</v>
      </c>
      <c r="F18" s="89">
        <f>HistoricalFS!F7</f>
        <v>0.1059220706147137</v>
      </c>
      <c r="G18" s="89">
        <f>HistoricalFS!G7</f>
        <v>1.2032561689137689E-2</v>
      </c>
      <c r="H18" s="89">
        <f>HistoricalFS!H7</f>
        <v>0.18211296282331646</v>
      </c>
      <c r="I18" s="89">
        <f>HistoricalFS!I7</f>
        <v>0.11520796121459553</v>
      </c>
      <c r="J18" s="89">
        <f>HistoricalFS!J7</f>
        <v>0.15509285741524614</v>
      </c>
      <c r="K18" s="89">
        <f>HistoricalFS!K7</f>
        <v>2.1723341036645749E-2</v>
      </c>
      <c r="L18" s="89">
        <f>HistoricalFS!L7</f>
        <v>1.9791262763344974E-2</v>
      </c>
    </row>
    <row r="19" spans="2:12" ht="15" customHeight="1" x14ac:dyDescent="0.3">
      <c r="B19" s="86" t="s">
        <v>198</v>
      </c>
      <c r="C19" s="87" t="s">
        <v>197</v>
      </c>
      <c r="D19" s="89">
        <f>HistoricalFS!D33/HistoricalFS!C33-1</f>
        <v>7.4706510138740745E-2</v>
      </c>
      <c r="E19" s="89">
        <f>HistoricalFS!E33/HistoricalFS!D33-1</f>
        <v>0.19215491559086395</v>
      </c>
      <c r="F19" s="89">
        <f>HistoricalFS!F33/HistoricalFS!E33-1</f>
        <v>0.19741774260724698</v>
      </c>
      <c r="G19" s="89">
        <f>HistoricalFS!G33/HistoricalFS!F33-1</f>
        <v>8.2434782608695745E-2</v>
      </c>
      <c r="H19" s="89">
        <f>HistoricalFS!H33/HistoricalFS!G33-1</f>
        <v>0.19280205655526994</v>
      </c>
      <c r="I19" s="89">
        <f>HistoricalFS!I33/HistoricalFS!H33-1</f>
        <v>0.16527478448275867</v>
      </c>
      <c r="J19" s="89">
        <f>HistoricalFS!J33/HistoricalFS!I33-1</f>
        <v>0.11201017223442378</v>
      </c>
      <c r="K19" s="89">
        <f>HistoricalFS!K33/HistoricalFS!J33-1</f>
        <v>-1.7255717255717284E-2</v>
      </c>
      <c r="L19" s="89">
        <f>HistoricalFS!L33/HistoricalFS!K33-1</f>
        <v>-2.7290035963613235E-2</v>
      </c>
    </row>
    <row r="21" spans="2:12" ht="15" customHeight="1" x14ac:dyDescent="0.3">
      <c r="B21" s="1" t="s">
        <v>199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ht="15" customHeight="1" x14ac:dyDescent="0.3">
      <c r="B22" s="82" t="s">
        <v>104</v>
      </c>
      <c r="C22" s="82" t="s">
        <v>184</v>
      </c>
      <c r="D22" s="82" t="s">
        <v>185</v>
      </c>
      <c r="E22" s="82" t="s">
        <v>186</v>
      </c>
      <c r="F22" s="82" t="s">
        <v>187</v>
      </c>
      <c r="G22" s="82" t="s">
        <v>188</v>
      </c>
      <c r="H22" s="82" t="s">
        <v>189</v>
      </c>
      <c r="I22" s="82" t="s">
        <v>190</v>
      </c>
      <c r="J22" s="82" t="s">
        <v>191</v>
      </c>
      <c r="K22" s="82" t="s">
        <v>192</v>
      </c>
      <c r="L22" s="82" t="s">
        <v>193</v>
      </c>
    </row>
    <row r="23" spans="2:12" ht="15" customHeight="1" x14ac:dyDescent="0.3">
      <c r="B23" s="86" t="s">
        <v>200</v>
      </c>
      <c r="C23" s="89">
        <f>HistoricalFS!C13</f>
        <v>0.436431989063568</v>
      </c>
      <c r="D23" s="89">
        <f>HistoricalFS!D13</f>
        <v>0.44119775646824677</v>
      </c>
      <c r="E23" s="89">
        <f>HistoricalFS!E13</f>
        <v>0.45460683640455762</v>
      </c>
      <c r="F23" s="89">
        <f>HistoricalFS!F13</f>
        <v>0.464029509030781</v>
      </c>
      <c r="G23" s="89">
        <f>HistoricalFS!G13</f>
        <v>0.47912424905110224</v>
      </c>
      <c r="H23" s="89">
        <f>HistoricalFS!H13</f>
        <v>0.45338947010291741</v>
      </c>
      <c r="I23" s="89">
        <f>HistoricalFS!I13</f>
        <v>0.44537238302253745</v>
      </c>
      <c r="J23" s="89">
        <f>HistoricalFS!J13</f>
        <v>0.41472433146252891</v>
      </c>
      <c r="K23" s="89">
        <f>HistoricalFS!K13</f>
        <v>0.4561522553961484</v>
      </c>
      <c r="L23" s="89">
        <f>HistoricalFS!L13</f>
        <v>0.45054736141696106</v>
      </c>
    </row>
    <row r="24" spans="2:12" ht="15" customHeight="1" x14ac:dyDescent="0.3">
      <c r="B24" s="86" t="s">
        <v>201</v>
      </c>
      <c r="C24" s="89">
        <f>HistoricalFS!C34</f>
        <v>0.11644814515627913</v>
      </c>
      <c r="D24" s="89">
        <f>HistoricalFS!D34</f>
        <v>0.12146432663892406</v>
      </c>
      <c r="E24" s="89">
        <f>HistoricalFS!E34</f>
        <v>0.13509635673090448</v>
      </c>
      <c r="F24" s="89">
        <f>HistoricalFS!F34</f>
        <v>0.14627321292292036</v>
      </c>
      <c r="G24" s="89">
        <f>HistoricalFS!G34</f>
        <v>0.15644873438403339</v>
      </c>
      <c r="H24" s="89">
        <f>HistoricalFS!H34</f>
        <v>0.1578634005273454</v>
      </c>
      <c r="I24" s="89">
        <f>HistoricalFS!I34</f>
        <v>0.16495061587156312</v>
      </c>
      <c r="J24" s="89">
        <f>HistoricalFS!J34</f>
        <v>0.15879828326180256</v>
      </c>
      <c r="K24" s="89">
        <f>HistoricalFS!K34</f>
        <v>0.15274008013441903</v>
      </c>
      <c r="L24" s="89">
        <f>HistoricalFS!L34</f>
        <v>0.14568843966350342</v>
      </c>
    </row>
  </sheetData>
  <mergeCells count="5">
    <mergeCell ref="B1:L1"/>
    <mergeCell ref="B2:L2"/>
    <mergeCell ref="B4:L4"/>
    <mergeCell ref="B16:L16"/>
    <mergeCell ref="B21:L2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Intrinsic Growth</vt:lpstr>
      <vt:lpstr>Raw Data</vt:lpstr>
      <vt:lpstr>HistoricalFS</vt:lpstr>
      <vt:lpstr>Data Sheet</vt:lpstr>
      <vt:lpstr>Cash Flow Statement</vt:lpstr>
      <vt:lpstr>Variance Analysis</vt:lpstr>
      <vt:lpstr>'Data Sheet'!UPDATE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dc:description/>
  <cp:lastModifiedBy>ACER</cp:lastModifiedBy>
  <cp:revision>0</cp:revision>
  <dcterms:created xsi:type="dcterms:W3CDTF">2024-12-09T12:10:35Z</dcterms:created>
  <dcterms:modified xsi:type="dcterms:W3CDTF">2026-03-26T14:12:05Z</dcterms:modified>
  <dc:language>en-US</dc:language>
</cp:coreProperties>
</file>